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nel_Data" sheetId="2" state="visible" r:id="rId4"/>
    <sheet name="Fee_History" sheetId="3" state="visible" r:id="rId5"/>
    <sheet name="Event_Study" sheetId="4" state="visible" r:id="rId6"/>
    <sheet name="Regression" sheetId="5" state="visible" r:id="rId7"/>
    <sheet name="Revenue_Sim"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<sst xmlns="http://schemas.openxmlformats.org/spreadsheetml/2006/main" count="298" uniqueCount="256">
  <si>
    <t xml:space="preserve">Costco Membership Pricing: Research Dataset and Model</t>
  </si>
  <si>
    <t xml:space="preserve">BFIN515 Economic Analysis, Assignment 2. Question: how does Costco's membership fee affect membership demand, and what fee maximizes estimated membership revenue?</t>
  </si>
  <si>
    <t xml:space="preserve">TABS</t>
  </si>
  <si>
    <t xml:space="preserve">Panel_Data</t>
  </si>
  <si>
    <t xml:space="preserve">FY2014-FY2025 panel: fees, paid/Executive members, cardholders, renewal rates, fee income, warehouses, plus derived growth and log-difference variables.</t>
  </si>
  <si>
    <t xml:space="preserve">Fee_History</t>
  </si>
  <si>
    <t xml:space="preserve">U.S./Canada fee schedule and the size/timing of each increase.</t>
  </si>
  <si>
    <t xml:space="preserve">Event_Study</t>
  </si>
  <si>
    <t xml:space="preserve">Growth and renewal behavior around the 2017 and 2024 increases; implied arc elasticity.</t>
  </si>
  <si>
    <t xml:space="preserve">Regression</t>
  </si>
  <si>
    <t xml:space="preserve">Log-difference LINEST models of paid-member growth on fee changes and warehouse growth.</t>
  </si>
  <si>
    <t xml:space="preserve">Revenue_Sim</t>
  </si>
  <si>
    <t xml:space="preserve">Revenue vs. fee under three demand shapes, closed-form optimum for linear demand, sensitivity table and chart.</t>
  </si>
  <si>
    <t xml:space="preserve">Sources</t>
  </si>
  <si>
    <t xml:space="preserve">10-K links and items still to verify.</t>
  </si>
  <si>
    <t xml:space="preserve">COLOR LEGEND</t>
  </si>
  <si>
    <t xml:space="preserve">Blue text</t>
  </si>
  <si>
    <t xml:space="preserve">Hardcoded input taken from a filing or stated as an assumption.</t>
  </si>
  <si>
    <t xml:space="preserve">Black text</t>
  </si>
  <si>
    <t xml:space="preserve">Formula.</t>
  </si>
  <si>
    <t xml:space="preserve">Green text</t>
  </si>
  <si>
    <t xml:space="preserve">Formula pulling from another tab.</t>
  </si>
  <si>
    <t xml:space="preserve">Orange fill</t>
  </si>
  <si>
    <t xml:space="preserve">Not verified against a filing in this build; check before citing.</t>
  </si>
  <si>
    <t xml:space="preserve">Light-yellow fill</t>
  </si>
  <si>
    <t xml:space="preserve">Estimate derived from a rounded reported percentage (Executive members FY2014-FY2019).</t>
  </si>
  <si>
    <t xml:space="preserve">Yellow fill</t>
  </si>
  <si>
    <t xml:space="preserve">Key assumption or user override cell: change these to test scenarios.</t>
  </si>
  <si>
    <t xml:space="preserve">KEY CAVEATS</t>
  </si>
  <si>
    <t xml:space="preserve">1</t>
  </si>
  <si>
    <t xml:space="preserve">Only two fee increases (2017, 2024) fall in the sample, so any elasticity estimate has very low statistical power.</t>
  </si>
  <si>
    <t xml:space="preserve">2</t>
  </si>
  <si>
    <t xml:space="preserve">Paid-member counts are worldwide; fee changes applied to the U.S. and Canada only, diluting the measured demand response.</t>
  </si>
  <si>
    <t xml:space="preserve">3</t>
  </si>
  <si>
    <t xml:space="preserve">Membership growth is driven heavily by new warehouse openings; the regression controls for this but the event study does not.</t>
  </si>
  <si>
    <t xml:space="preserve">4</t>
  </si>
  <si>
    <t xml:space="preserve">FY2020 counting-method change (+1.3M paid members) is adjusted for in growth rates only.</t>
  </si>
  <si>
    <t xml:space="preserve">5</t>
  </si>
  <si>
    <t xml:space="preserve">The revenue-maximizing fee depends on extrapolating demand far beyond the observed $55-$65 range; treat Revenue_Sim as scenario analysis.</t>
  </si>
  <si>
    <t xml:space="preserve">6</t>
  </si>
  <si>
    <t xml:space="preserve">Possible extensions: add CPI or real disposable income from FRED as a control; add quarterly 10-Q data; add FY2026 once the 10-K is filed.</t>
  </si>
  <si>
    <t xml:space="preserve">Costco Membership Panel, FY2014-FY2025</t>
  </si>
  <si>
    <t xml:space="preserve">Units: member counts in thousands; fee income in $ millions; fees in US$ (U.S./Canada Gold Star and Executive). Blue = hardcoded from filings, black = formula, orange fill = NOT verified against a filing in this build, light-yellow fill = estimate derived from a rounded percentage.</t>
  </si>
  <si>
    <t xml:space="preserve">Fiscal year ends on the Sunday nearest Aug 31. FY2017 and FY2023 are 53-week years. Full notes below the table; sources on the Sources tab.</t>
  </si>
  <si>
    <t xml:space="preserve">Fiscal year</t>
  </si>
  <si>
    <t xml:space="preserve">FY end date</t>
  </si>
  <si>
    <t xml:space="preserve">Weeks in FY</t>
  </si>
  <si>
    <t xml:space="preserve">Gold Star fee, start of FY ($)</t>
  </si>
  <si>
    <t xml:space="preserve">Gold Star fee, end of FY ($)</t>
  </si>
  <si>
    <t xml:space="preserve">Executive fee, end of FY ($)</t>
  </si>
  <si>
    <t xml:space="preserve">Total paid members (000s)</t>
  </si>
  <si>
    <t xml:space="preserve">Business incl. affiliates (000s)</t>
  </si>
  <si>
    <t xml:space="preserve">Gold Star (000s) = Paid - Business</t>
  </si>
  <si>
    <t xml:space="preserve">Executive share of paid (reported, rounded)</t>
  </si>
  <si>
    <t xml:space="preserve">Executive members (000s)</t>
  </si>
  <si>
    <t xml:space="preserve">Executive share of paid (calc.)</t>
  </si>
  <si>
    <t xml:space="preserve">Total cardholders (000s)</t>
  </si>
  <si>
    <t xml:space="preserve">Household / other cards (000s) = Cardholders - Paid</t>
  </si>
  <si>
    <t xml:space="preserve">Renewal rate, U.S. &amp; Canada</t>
  </si>
  <si>
    <t xml:space="preserve">Renewal rate, worldwide</t>
  </si>
  <si>
    <t xml:space="preserve">Membership fee income ($M)</t>
  </si>
  <si>
    <t xml:space="preserve">Warehouses at FY end</t>
  </si>
  <si>
    <t xml:space="preserve">Count-method adjustment (000s)</t>
  </si>
  <si>
    <t xml:space="preserve">Fee income per paid member ($)</t>
  </si>
  <si>
    <t xml:space="preserve">Paid members per warehouse (000s)</t>
  </si>
  <si>
    <t xml:space="preserve">Paid-member growth, % (method-adjusted)</t>
  </si>
  <si>
    <t xml:space="preserve">Delta ln(paid members), adj.</t>
  </si>
  <si>
    <t xml:space="preserve">Delta ln(GS fee), t-1</t>
  </si>
  <si>
    <t xml:space="preserve">Delta ln(GS fee), t</t>
  </si>
  <si>
    <t xml:space="preserve">Delta ln(warehouses)</t>
  </si>
  <si>
    <t xml:space="preserve">Delta renewal rate, U.S. &amp; Canada (pts)</t>
  </si>
  <si>
    <t xml:space="preserve">Primary source</t>
  </si>
  <si>
    <t xml:space="preserve">n/a</t>
  </si>
  <si>
    <t xml:space="preserve">FY2016 10-K (members); fee income &amp; warehouses from memory - VERIFY</t>
  </si>
  <si>
    <t xml:space="preserve">FY2016/FY2017 10-K (members); fee income &amp; warehouses from memory - VERIFY</t>
  </si>
  <si>
    <t xml:space="preserve">FY2016 &amp; FY2018 10-K</t>
  </si>
  <si>
    <t xml:space="preserve">FY2017 10-K; fee raised Jun 1, 2017</t>
  </si>
  <si>
    <t xml:space="preserve">FY2018 10-K</t>
  </si>
  <si>
    <t xml:space="preserve">FY2019 10-K</t>
  </si>
  <si>
    <t xml:space="preserve">FY2020 10-K; counts restated (+1.3M paid)</t>
  </si>
  <si>
    <t xml:space="preserve">FY2021 10-K</t>
  </si>
  <si>
    <t xml:space="preserve">FY2022 10-K</t>
  </si>
  <si>
    <t xml:space="preserve">FY2023 &amp; FY2025 10-K</t>
  </si>
  <si>
    <t xml:space="preserve">FY2024 &amp; FY2025 10-K</t>
  </si>
  <si>
    <t xml:space="preserve">FY2025 10-K; fee raised Sep 1, 2024</t>
  </si>
  <si>
    <t xml:space="preserve">NOTES</t>
  </si>
  <si>
    <t xml:space="preserve">1. Paid members, Business, cardholders, Executive members, renewal rates and fee income are taken from Costco's 10-K filings (see Sources tab). Gold Star = Paid - Business (matches the 10-K table in every year checked).</t>
  </si>
  <si>
    <t xml:space="preserve">2. FY2014-FY2019 Executive members are an ESTIMATE: Costco reported only a rounded percentage of paid members (39%/39%/39%/38%/37%/39%). FY2020 onward are reported counts.</t>
  </si>
  <si>
    <t xml:space="preserve">3. Series break: in FY2020 Costco standardized its counting method globally, adding ~2.0M cardholders (~1.3M paid members). Levels from FY2020 on include this; FY2019 and earlier were not restated. Column S removes it from the FY2020 growth rate only.</t>
  </si>
  <si>
    <t xml:space="preserve">4. Renewal rates are a trailing measure (renewals 7-18 months before the reporting date). FY2016-FY2022 were published as whole percentages; FY2023 onward to one decimal. FY2014-FY2015 renewal rates not collected (n/a).</t>
  </si>
  <si>
    <t xml:space="preserve">5. Fee columns are the U.S./Canada Gold Star (Individual/Business) fee and the Executive total fee. 'Start of FY' for FY2025 is $65 because the increase took effect Sep 1, 2024, the day before FY2025 began.</t>
  </si>
  <si>
    <t xml:space="preserve">6. Paid-member counts are WORLDWIDE, but the fee changes applied only to the U.S. and Canada, so the fee effect on this demand measure is diluted. The U.S./Canada renewal rate is the cleaner demand proxy.</t>
  </si>
  <si>
    <t xml:space="preserve">7. Warehouse counts for FY2016-FY2022 are derived from the cumulative 'year opened' table in the FY2025 10-K (assumes no closures); FY2023-FY2025 are stated directly. FY2014-FY2015 and fee income for FY2014-FY2015 are from memory and must be checked against the FY2015/FY2016 10-Ks.</t>
  </si>
  <si>
    <t xml:space="preserve">8. FY2017 and FY2023 contain 53 weeks of fee income, which slightly inflates those years' fee income and the following year's growth comparison.</t>
  </si>
  <si>
    <t xml:space="preserve">Costco U.S./Canada Annual Membership Fee Schedule</t>
  </si>
  <si>
    <t xml:space="preserve">Gold Star / Business fee and Executive total fee ($). Executive total = base fee + Executive upgrade fee.</t>
  </si>
  <si>
    <t xml:space="preserve">Year effective</t>
  </si>
  <si>
    <t xml:space="preserve">Effective date</t>
  </si>
  <si>
    <t xml:space="preserve">Gold Star / Business fee ($)</t>
  </si>
  <si>
    <t xml:space="preserve">Executive total fee ($)</t>
  </si>
  <si>
    <t xml:space="preserve">Executive upgrade fee ($) = Exec - GS</t>
  </si>
  <si>
    <t xml:space="preserve">Max annual 2% Exec reward ($)</t>
  </si>
  <si>
    <t xml:space="preserve">% change, Gold Star</t>
  </si>
  <si>
    <t xml:space="preserve">% change, Executive</t>
  </si>
  <si>
    <t xml:space="preserve">Years since prior increase (calendar)</t>
  </si>
  <si>
    <t xml:space="preserve">Verification / source</t>
  </si>
  <si>
    <t xml:space="preserve">2006 (date not collected)</t>
  </si>
  <si>
    <t xml:space="preserve">NOT verified - from memory. Check FY2006/FY2007 10-K.</t>
  </si>
  <si>
    <t xml:space="preserve">2011 (date not collected)</t>
  </si>
  <si>
    <t xml:space="preserve">GS fee of $55 confirmed indirectly by FY2017 10-K ('increased by $5 to $60'); $750 cap per FY2016 10-K. Exec $110 inferred ($55+$55).</t>
  </si>
  <si>
    <t xml:space="preserve">FY2017 10-K: effective June 1, 2017; FY2022 10-K: Exec upgrade fee $60.</t>
  </si>
  <si>
    <t xml:space="preserve">FY2024 10-K and Costco announcement: GS $60-&gt;$65, Exec $120-&gt;$130, reward cap $1,000-&gt;$1,250.</t>
  </si>
  <si>
    <t xml:space="preserve">Average years between increases (verified + unverified rows)</t>
  </si>
  <si>
    <t xml:space="preserve">Costco has historically raised fees roughly every 5-6 years; the 2017-&gt;2024 gap was about 7.25 years (Jun 2017 to Sep 2024).</t>
  </si>
  <si>
    <t xml:space="preserve">Event Study: Membership Growth and Renewal Around Fee Increases</t>
  </si>
  <si>
    <t xml:space="preserve">Baseline = average paid-member growth in the 2 fiscal years before the increase. Shortfall = actual cumulative growth in the response window minus baseline x years. Implied arc elasticity = shortfall / % fee change. This is indicative only: warehouse openings, online promotions and the worldwide count all confound it.</t>
  </si>
  <si>
    <t xml:space="preserve">Event</t>
  </si>
  <si>
    <t xml:space="preserve">Event fiscal year</t>
  </si>
  <si>
    <t xml:space="preserve">Old Gold Star fee ($)</t>
  </si>
  <si>
    <t xml:space="preserve">New Gold Star fee ($)</t>
  </si>
  <si>
    <t xml:space="preserve">Fee change, %</t>
  </si>
  <si>
    <t xml:space="preserve">Response window (years) [input]</t>
  </si>
  <si>
    <t xml:space="preserve">Baseline avg growth (prior 2 yrs)</t>
  </si>
  <si>
    <t xml:space="preserve">Actual cum. growth in window</t>
  </si>
  <si>
    <t xml:space="preserve">Expected cum. growth at baseline</t>
  </si>
  <si>
    <t xml:space="preserve">Shortfall vs. trend</t>
  </si>
  <si>
    <t xml:space="preserve">Implied arc elasticity</t>
  </si>
  <si>
    <t xml:space="preserve">Renewal rate U.S./Can, year before</t>
  </si>
  <si>
    <t xml:space="preserve">Renewal rate U.S./Can, end of window</t>
  </si>
  <si>
    <t xml:space="preserve">Change (pts)</t>
  </si>
  <si>
    <t xml:space="preserve">June 2017 increase ($55 -&gt; $60)</t>
  </si>
  <si>
    <t xml:space="preserve">Sept 2024 increase ($60 -&gt; $65)</t>
  </si>
  <si>
    <t xml:space="preserve">Average implied elasticity (feeds Revenue_Sim)</t>
  </si>
  <si>
    <t xml:space="preserve">Reading the table: the 2017 hike took effect June 1 (late in FY2017), so the response window is 2 years; the 2024 hike took effect on the first day of FY2025, and FY2026 is not yet in an annual filing, so the window is 1 year. Yellow = window length is an adjustable assumption.</t>
  </si>
  <si>
    <t xml:space="preserve">Growth-Rate Regressions: Fee Changes and Paid-Member Growth</t>
  </si>
  <si>
    <t xml:space="preserve">Log-difference model, so the coefficient on Delta ln(fee) is the elasticity of paid members with respect to the Gold Star fee. Only two fee changes exist in the sample (FY2017, FY2025), so statistical power is very low; treat results as indicative, not conclusive.</t>
  </si>
  <si>
    <t xml:space="preserve">Model 1 (FY2015-FY2025): Delta ln(Paid) = a + b1*Delta ln(GS fee, t) + b2*Delta ln(Warehouses)</t>
  </si>
  <si>
    <t xml:space="preserve">Variable</t>
  </si>
  <si>
    <t xml:space="preserve">Coefficient</t>
  </si>
  <si>
    <t xml:space="preserve">Std. error</t>
  </si>
  <si>
    <t xml:space="preserve">t-stat</t>
  </si>
  <si>
    <t xml:space="preserve">p-value (2-tailed)</t>
  </si>
  <si>
    <t xml:space="preserve">Intercept</t>
  </si>
  <si>
    <t xml:space="preserve">Delta ln(GS fee, t)  -&gt; elasticity</t>
  </si>
  <si>
    <t xml:space="preserve">Delta ln(Warehouses)</t>
  </si>
  <si>
    <t xml:space="preserve">Observations (n)</t>
  </si>
  <si>
    <t xml:space="preserve">R-squared</t>
  </si>
  <si>
    <t xml:space="preserve">Residual degrees of freedom</t>
  </si>
  <si>
    <t xml:space="preserve">Model 2 (FY2016-FY2025): adds a one-year lag of the fee change (distributed lag)</t>
  </si>
  <si>
    <t xml:space="preserve">Delta ln(GS fee, t)</t>
  </si>
  <si>
    <t xml:space="preserve">Delta ln(GS fee, t-1)</t>
  </si>
  <si>
    <t xml:space="preserve">Cumulative fee elasticity (t + t-1)</t>
  </si>
  <si>
    <t xml:space="preserve">Notes: (1) A negative elasticity means higher fees reduce membership growth; |elasticity| &lt; 1 means revenue rises with the fee. (2) Paid members are worldwide while fee changes were U.S./Canada only, which biases the estimate toward zero. (3) FY2020 growth is adjusted for the counting-method change. (4) The standard error of the cumulative elasticity is not computed here.</t>
  </si>
  <si>
    <t xml:space="preserve">Membership Revenue Simulator: What Gold Star Fee Maximizes Estimated Fee Income?</t>
  </si>
  <si>
    <t xml:space="preserve">Executive fee is assumed to equal the Gold Star fee plus a fixed upgrade fee. Three demand shapes are compared. The elasticity comes from the Event_Study tab unless overridden. ASSUMPTIONS, not estimates: the escalation factor k and the idea that the elasticity holds far outside the observed $55-$65 range.</t>
  </si>
  <si>
    <t xml:space="preserve">INPUTS</t>
  </si>
  <si>
    <t xml:space="preserve">Base Gold Star fee, P0 ($)</t>
  </si>
  <si>
    <t xml:space="preserve">FY2025 U.S./Canada fee (Panel_Data)</t>
  </si>
  <si>
    <t xml:space="preserve">Executive upgrade fee, U ($)</t>
  </si>
  <si>
    <t xml:space="preserve">FY2025 10-K: $65 upgrade (Exec total $130)</t>
  </si>
  <si>
    <t xml:space="preserve">Executive share of paid members, s</t>
  </si>
  <si>
    <t xml:space="preserve">FY2025: 38.7M / 81.0M</t>
  </si>
  <si>
    <t xml:space="preserve">Fee component moving with P:  c = s x U ($)</t>
  </si>
  <si>
    <t xml:space="preserve">Average fee per member = P + c</t>
  </si>
  <si>
    <t xml:space="preserve">Base paid members, Q0 (000s)</t>
  </si>
  <si>
    <t xml:space="preserve">FY2025</t>
  </si>
  <si>
    <t xml:space="preserve">Base membership fee income, R0 ($M)</t>
  </si>
  <si>
    <t xml:space="preserve">FY2025 reported (understates run-rate: fee income is deferred over 12 months)</t>
  </si>
  <si>
    <t xml:space="preserve">Memberships affected by fee change (000s)</t>
  </si>
  <si>
    <t xml:space="preserve">Costco announcement, July 2024: ~52 million memberships (news reports)</t>
  </si>
  <si>
    <t xml:space="preserve">Paid members FY2024 (000s)</t>
  </si>
  <si>
    <t xml:space="preserve">Denominator for share affected</t>
  </si>
  <si>
    <t xml:space="preserve">Share of paid members subject to U.S./Canada fee change, w</t>
  </si>
  <si>
    <t xml:space="preserve">Count-based approximation</t>
  </si>
  <si>
    <t xml:space="preserve">Event-study average elasticity</t>
  </si>
  <si>
    <t xml:space="preserve">From Event_Study tab</t>
  </si>
  <si>
    <t xml:space="preserve">Elasticity OVERRIDE (leave blank to use event-study value)</t>
  </si>
  <si>
    <t xml:space="preserve">Type e.g. -0.5 to test; yellow = user input</t>
  </si>
  <si>
    <t xml:space="preserve">Elasticity used, e</t>
  </si>
  <si>
    <t xml:space="preserve">d ln(Q) / d ln(P) at the base fee</t>
  </si>
  <si>
    <t xml:space="preserve">Elasticity escalation factor, k (Model C)</t>
  </si>
  <si>
    <t xml:space="preserve">ASSUMPTION: elasticity grows as (P/P0)^k; k=0 is constant elasticity</t>
  </si>
  <si>
    <t xml:space="preserve">Grid start price ($)</t>
  </si>
  <si>
    <t xml:space="preserve">Lower bound of simulated fees</t>
  </si>
  <si>
    <t xml:space="preserve">Grid step ($)</t>
  </si>
  <si>
    <t xml:space="preserve">Increment</t>
  </si>
  <si>
    <t xml:space="preserve">CLOSED-FORM RESULT: MODEL B (linear demand through the base point)</t>
  </si>
  <si>
    <t xml:space="preserve">Slope of demand, dQ/dP (000s members per $)</t>
  </si>
  <si>
    <t xml:space="preserve">Demand intercept a (000s members)</t>
  </si>
  <si>
    <t xml:space="preserve">Revenue-maximizing Gold Star fee, P* ($)</t>
  </si>
  <si>
    <t xml:space="preserve">Maximizes Q(P) x (P + c); independent of w and R0</t>
  </si>
  <si>
    <t xml:space="preserve">PRICE GRID  (revenue in $M = R0 x [(1-w) + w x (Q/Q0) x (P+c)/(P0+c)])</t>
  </si>
  <si>
    <t xml:space="preserve">Gold Star fee P ($)</t>
  </si>
  <si>
    <t xml:space="preserve">Executive fee ($)</t>
  </si>
  <si>
    <t xml:space="preserve">A: Members, const. elasticity (000s)</t>
  </si>
  <si>
    <t xml:space="preserve">A: Revenue ($M)</t>
  </si>
  <si>
    <t xml:space="preserve">B: Members, linear demand (000s)</t>
  </si>
  <si>
    <t xml:space="preserve">B: Revenue ($M)</t>
  </si>
  <si>
    <t xml:space="preserve">C: Members, rising elasticity (000s)</t>
  </si>
  <si>
    <t xml:space="preserve">C: Revenue ($M)</t>
  </si>
  <si>
    <t xml:space="preserve">B: Revenue vs. base</t>
  </si>
  <si>
    <t xml:space="preserve">C: Revenue vs. base</t>
  </si>
  <si>
    <t xml:space="preserve">GRID RESULTS: price with highest revenue</t>
  </si>
  <si>
    <t xml:space="preserve">Model A (constant elasticity)</t>
  </si>
  <si>
    <t xml:space="preserve">Model B (linear demand)</t>
  </si>
  <si>
    <t xml:space="preserve">Model C (rising elasticity)</t>
  </si>
  <si>
    <t xml:space="preserve">Column C = revenue ($M) at the grid maximum. 'No interior max' means revenue is still rising at the top of the grid; widen it with the start/step inputs.</t>
  </si>
  <si>
    <t xml:space="preserve">SENSITIVITY: Model B revenue-maximizing fee by elasticity</t>
  </si>
  <si>
    <t xml:space="preserve">Elasticity at base fee</t>
  </si>
  <si>
    <t xml:space="preserve">Revenue-max fee P* ($)</t>
  </si>
  <si>
    <t xml:space="preserve">P* vs. base fee</t>
  </si>
  <si>
    <t xml:space="preserve">How to read this: if the elasticity measured around $55-$65 is small (|e| &lt; 1), simple demand shapes imply the revenue-maximizing fee is far above anything Costco has charged. That is an extrapolation, not a forecast: the real limits are competitor fees, value perception, renewal-rate erosion and the 2% Executive reward. Use Model C and the override cell to test faster demand decay at higher prices.</t>
  </si>
  <si>
    <t xml:space="preserve">Item</t>
  </si>
  <si>
    <t xml:space="preserve">Fiscal years</t>
  </si>
  <si>
    <t xml:space="preserve">Source</t>
  </si>
  <si>
    <t xml:space="preserve">URL / notes</t>
  </si>
  <si>
    <t xml:space="preserve">10-K (members, renewal, fee income, warehouses)</t>
  </si>
  <si>
    <t xml:space="preserve">FY2025 (also FY2023-FY2024 comparatives)</t>
  </si>
  <si>
    <t xml:space="preserve">Costco Form 10-K, FY ended Aug 31, 2025</t>
  </si>
  <si>
    <t xml:space="preserve">https://www.sec.gov/Archives/edgar/data/909832/000090983225000101/cost-20250831.htm</t>
  </si>
  <si>
    <t xml:space="preserve">10-K</t>
  </si>
  <si>
    <t xml:space="preserve">FY2024</t>
  </si>
  <si>
    <t xml:space="preserve">Costco Form 10-K, FY ended Sep 1, 2024</t>
  </si>
  <si>
    <t xml:space="preserve">https://www.sec.gov/Archives/edgar/data/909832/000090983224000049/cost-20240901.htm</t>
  </si>
  <si>
    <t xml:space="preserve">FY2023</t>
  </si>
  <si>
    <t xml:space="preserve">Costco Form 10-K, FY ended Sep 3, 2023</t>
  </si>
  <si>
    <t xml:space="preserve">https://www.sec.gov/Archives/edgar/data/909832/000090983223000042/cost-20230903.htm</t>
  </si>
  <si>
    <t xml:space="preserve">FY2022</t>
  </si>
  <si>
    <t xml:space="preserve">Costco Form 10-K, FY ended Aug 28, 2022</t>
  </si>
  <si>
    <t xml:space="preserve">https://www.sec.gov/Archives/edgar/data/909832/000090983222000021/cost-20220828.htm</t>
  </si>
  <si>
    <t xml:space="preserve">FY2021</t>
  </si>
  <si>
    <t xml:space="preserve">Costco Form 10-K, FY ended Aug 29, 2021</t>
  </si>
  <si>
    <t xml:space="preserve">https://www.sec.gov/Archives/edgar/data/909832/000090983221000014/cost-20210829.htm</t>
  </si>
  <si>
    <t xml:space="preserve">FY2020</t>
  </si>
  <si>
    <t xml:space="preserve">Costco Form 10-K, FY ended Aug 30, 2020</t>
  </si>
  <si>
    <t xml:space="preserve">https://www.sec.gov/Archives/edgar/data/909832/000090983220000017/cost-20200830.htm</t>
  </si>
  <si>
    <t xml:space="preserve">FY2019</t>
  </si>
  <si>
    <t xml:space="preserve">Costco Form 10-K, FY ended Sep 1, 2019</t>
  </si>
  <si>
    <t xml:space="preserve">https://www.sec.gov/Archives/edgar/data/909832/000090983219000019/cost10k9119.htm</t>
  </si>
  <si>
    <t xml:space="preserve">FY2018</t>
  </si>
  <si>
    <t xml:space="preserve">Costco Form 10-K, FY ended Sep 2, 2018</t>
  </si>
  <si>
    <t xml:space="preserve">https://www.sec.gov/Archives/edgar/data/0000909832/000090983218000013/cost10k9218.htm</t>
  </si>
  <si>
    <t xml:space="preserve">FY2017</t>
  </si>
  <si>
    <t xml:space="preserve">Costco Form 10-K, FY ended Sep 3, 2017</t>
  </si>
  <si>
    <t xml:space="preserve">https://www.sec.gov/Archives/edgar/data/0000909832/000090983217000014/cost10k90317.htm</t>
  </si>
  <si>
    <t xml:space="preserve">10-K (FY2014-FY2016 members &amp; Executive %)</t>
  </si>
  <si>
    <t xml:space="preserve">FY2014-FY2016</t>
  </si>
  <si>
    <t xml:space="preserve">Costco Form 10-K, FY ended Aug 28, 2016</t>
  </si>
  <si>
    <t xml:space="preserve">https://www.sec.gov/Archives/edgar/data/0000909832/000090983216000032/cost10k82816.htm</t>
  </si>
  <si>
    <t xml:space="preserve">2024 fee increase announcement coverage</t>
  </si>
  <si>
    <t xml:space="preserve">AP / NBC / Chain Store Age (July 2024): $60-&gt;$65, $120-&gt;$130, ~52M memberships affected</t>
  </si>
  <si>
    <t xml:space="preserve">https://www.foxla.com/news/costco-raising-membership-fees-1st-time-since-2017</t>
  </si>
  <si>
    <t xml:space="preserve">NOT VERIFIED (from memory)</t>
  </si>
  <si>
    <t xml:space="preserve">FY2014-FY2015 fee income and warehouses; 2006 and 2011 fee levels</t>
  </si>
  <si>
    <t xml:space="preserve">Check FY2015/FY2016 10-K (fee income, warehouse counts) and FY2006/FY2011 10-Ks (fees)</t>
  </si>
  <si>
    <t xml:space="preserve">Orange-filled cells in Panel_Data and Fee_History</t>
  </si>
</sst>
</file>

<file path=xl/styles.xml><?xml version="1.0" encoding="utf-8"?>
<styleSheet xmlns="http://schemas.openxmlformats.org/spreadsheetml/2006/main">
  <numFmts count="17">
    <numFmt numFmtId="164" formatCode="General"/>
    <numFmt numFmtId="165" formatCode="0"/>
    <numFmt numFmtId="166" formatCode="yyyy\-mm\-dd"/>
    <numFmt numFmtId="167" formatCode="\$#,##0;&quot;($&quot;#,##0\);\-"/>
    <numFmt numFmtId="168" formatCode="#,##0;\(#,##0\);\-"/>
    <numFmt numFmtId="169" formatCode="0%"/>
    <numFmt numFmtId="170" formatCode="0.0%;\(0.0%\);\-"/>
    <numFmt numFmtId="171" formatCode="\$#,##0.00"/>
    <numFmt numFmtId="172" formatCode="#,##0.0"/>
    <numFmt numFmtId="173" formatCode="0.0000;\(0.0000\);\-"/>
    <numFmt numFmtId="174" formatCode="0.0"/>
    <numFmt numFmtId="175" formatCode="0.00;\(0.00\);\-"/>
    <numFmt numFmtId="176" formatCode="0.0000;\(0.0000\)"/>
    <numFmt numFmtId="177" formatCode="0.0000"/>
    <numFmt numFmtId="178" formatCode="0.00;\(0.00\)"/>
    <numFmt numFmtId="179" formatCode="0.000"/>
    <numFmt numFmtId="180" formatCode="#,##0.0;\(#,##0.0\)"/>
  </numFmts>
  <fonts count="17">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404040"/>
      <name val="Arial"/>
      <family val="0"/>
      <charset val="1"/>
    </font>
    <font>
      <b val="true"/>
      <sz val="10"/>
      <name val="Arial"/>
      <family val="0"/>
      <charset val="1"/>
    </font>
    <font>
      <sz val="10"/>
      <color rgb="FF000000"/>
      <name val="Arial"/>
      <family val="0"/>
      <charset val="1"/>
    </font>
    <font>
      <b val="true"/>
      <sz val="10"/>
      <color rgb="FF0000FF"/>
      <name val="Arial"/>
      <family val="0"/>
      <charset val="1"/>
    </font>
    <font>
      <b val="true"/>
      <sz val="10"/>
      <color rgb="FF008000"/>
      <name val="Arial"/>
      <family val="0"/>
      <charset val="1"/>
    </font>
    <font>
      <b val="true"/>
      <sz val="10"/>
      <color rgb="FFFFFFFF"/>
      <name val="Arial"/>
      <family val="0"/>
      <charset val="1"/>
    </font>
    <font>
      <sz val="10"/>
      <color rgb="FF0000FF"/>
      <name val="Arial"/>
      <family val="0"/>
      <charset val="1"/>
    </font>
    <font>
      <i val="true"/>
      <sz val="10"/>
      <color rgb="FF80808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D9E2F3"/>
        <bgColor rgb="FFD9D9D9"/>
      </patternFill>
    </fill>
    <fill>
      <patternFill patternType="solid">
        <fgColor rgb="FFFFE0B2"/>
        <bgColor rgb="FFFFF9C4"/>
      </patternFill>
    </fill>
    <fill>
      <patternFill patternType="solid">
        <fgColor rgb="FFFFF9C4"/>
        <bgColor rgb="FFFFFF99"/>
      </patternFill>
    </fill>
    <fill>
      <patternFill patternType="solid">
        <fgColor rgb="FFFFFF00"/>
        <bgColor rgb="FFFFFF00"/>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76" fontId="13" fillId="0" borderId="1" xfId="0" applyFont="true" applyBorder="true" applyAlignment="false" applyProtection="false">
      <alignment horizontal="general" vertical="bottom" textRotation="0" wrapText="false" indent="0" shrinkToFit="false"/>
      <protection locked="true" hidden="false"/>
    </xf>
    <xf numFmtId="177" fontId="13" fillId="0" borderId="1" xfId="0" applyFont="true" applyBorder="true" applyAlignment="false" applyProtection="false">
      <alignment horizontal="general" vertical="bottom" textRotation="0" wrapText="false" indent="0" shrinkToFit="false"/>
      <protection locked="true" hidden="false"/>
    </xf>
    <xf numFmtId="178" fontId="7" fillId="0" borderId="1" xfId="0" applyFont="true" applyBorder="true" applyAlignment="false" applyProtection="false">
      <alignment horizontal="general" vertical="bottom" textRotation="0" wrapText="false" indent="0" shrinkToFit="false"/>
      <protection locked="true" hidden="false"/>
    </xf>
    <xf numFmtId="179" fontId="7"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79" fontId="13"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75" fontId="13" fillId="0" borderId="1" xfId="0" applyFont="true" applyBorder="true" applyAlignment="false" applyProtection="false">
      <alignment horizontal="general" vertical="bottom" textRotation="0" wrapText="false" indent="0" shrinkToFit="false"/>
      <protection locked="true" hidden="false"/>
    </xf>
    <xf numFmtId="175" fontId="11" fillId="5" borderId="1" xfId="0" applyFont="true" applyBorder="true" applyAlignment="false" applyProtection="false">
      <alignment horizontal="general" vertical="bottom" textRotation="0" wrapText="false" indent="0" shrinkToFit="false"/>
      <protection locked="true" hidden="false"/>
    </xf>
    <xf numFmtId="174" fontId="11" fillId="5" borderId="1" xfId="0" applyFont="true" applyBorder="true" applyAlignment="false" applyProtection="false">
      <alignment horizontal="general" vertical="bottom" textRotation="0" wrapText="false" indent="0" shrinkToFit="false"/>
      <protection locked="true" hidden="false"/>
    </xf>
    <xf numFmtId="180" fontId="7"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5"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9C4"/>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8B855"/>
      <rgbColor rgb="FFFFCC00"/>
      <rgbColor rgb="FFFF9900"/>
      <rgbColor rgb="FFFF6600"/>
      <rgbColor rgb="FF4A7EBB"/>
      <rgbColor rgb="FF878787"/>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Estimated membership fee income vs. Gold Star fee</a:t>
            </a:r>
          </a:p>
        </c:rich>
      </c:tx>
      <c:overlay val="0"/>
      <c:spPr>
        <a:noFill/>
        <a:ln w="0">
          <a:noFill/>
        </a:ln>
      </c:spPr>
    </c:title>
    <c:autoTitleDeleted val="0"/>
    <c:plotArea>
      <c:lineChart>
        <c:grouping val="standard"/>
        <c:varyColors val="0"/>
        <c:ser>
          <c:idx val="0"/>
          <c:order val="0"/>
          <c:tx>
            <c:strRef>
              <c:f>Revenue_Sim!D29</c:f>
              <c:strCache>
                <c:ptCount val="1"/>
                <c:pt idx="0">
                  <c:v>A: Revenue ($M)</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Revenue_Sim!$A$30:$A$46</c:f>
              <c:strCache>
                <c:ptCount val="17"/>
                <c:pt idx="0">
                  <c:v>$55</c:v>
                </c:pt>
                <c:pt idx="1">
                  <c:v>$60</c:v>
                </c:pt>
                <c:pt idx="2">
                  <c:v>$65</c:v>
                </c:pt>
                <c:pt idx="3">
                  <c:v>$70</c:v>
                </c:pt>
                <c:pt idx="4">
                  <c:v>$75</c:v>
                </c:pt>
                <c:pt idx="5">
                  <c:v>$80</c:v>
                </c:pt>
                <c:pt idx="6">
                  <c:v>$85</c:v>
                </c:pt>
                <c:pt idx="7">
                  <c:v>$90</c:v>
                </c:pt>
                <c:pt idx="8">
                  <c:v>$95</c:v>
                </c:pt>
                <c:pt idx="9">
                  <c:v>$100</c:v>
                </c:pt>
                <c:pt idx="10">
                  <c:v>$105</c:v>
                </c:pt>
                <c:pt idx="11">
                  <c:v>$110</c:v>
                </c:pt>
                <c:pt idx="12">
                  <c:v>$115</c:v>
                </c:pt>
                <c:pt idx="13">
                  <c:v>$120</c:v>
                </c:pt>
                <c:pt idx="14">
                  <c:v>$125</c:v>
                </c:pt>
                <c:pt idx="15">
                  <c:v>$130</c:v>
                </c:pt>
                <c:pt idx="16">
                  <c:v>$135</c:v>
                </c:pt>
              </c:strCache>
            </c:strRef>
          </c:cat>
          <c:val>
            <c:numRef>
              <c:f>Revenue_Sim!$D$30:$D$46</c:f>
              <c:numCache>
                <c:formatCode>\$#,##0;"($"#,##0\);\-</c:formatCode>
                <c:ptCount val="17"/>
                <c:pt idx="0">
                  <c:v>5132.92890334066</c:v>
                </c:pt>
                <c:pt idx="1">
                  <c:v>5227.88284144975</c:v>
                </c:pt>
                <c:pt idx="2">
                  <c:v>5323</c:v>
                </c:pt>
                <c:pt idx="3">
                  <c:v>5418.00110777839</c:v>
                </c:pt>
                <c:pt idx="4">
                  <c:v>5512.69347297263</c:v>
                </c:pt>
                <c:pt idx="5">
                  <c:v>5606.94354687857</c:v>
                </c:pt>
                <c:pt idx="6">
                  <c:v>5700.6589767764</c:v>
                </c:pt>
                <c:pt idx="7">
                  <c:v>5793.77656863945</c:v>
                </c:pt>
                <c:pt idx="8">
                  <c:v>5886.25403842419</c:v>
                </c:pt>
                <c:pt idx="9">
                  <c:v>5978.06425378349</c:v>
                </c:pt>
                <c:pt idx="10">
                  <c:v>6069.19114918196</c:v>
                </c:pt>
                <c:pt idx="11">
                  <c:v>6159.62678736873</c:v>
                </c:pt>
                <c:pt idx="12">
                  <c:v>6249.36921970943</c:v>
                </c:pt>
                <c:pt idx="13">
                  <c:v>6338.42091175304</c:v>
                </c:pt>
                <c:pt idx="14">
                  <c:v>6426.78757419942</c:v>
                </c:pt>
                <c:pt idx="15">
                  <c:v>6514.47728818419</c:v>
                </c:pt>
                <c:pt idx="16">
                  <c:v>6601.49984657347</c:v>
                </c:pt>
              </c:numCache>
            </c:numRef>
          </c:val>
          <c:smooth val="1"/>
        </c:ser>
        <c:ser>
          <c:idx val="1"/>
          <c:order val="1"/>
          <c:tx>
            <c:strRef>
              <c:f>Revenue_Sim!F29</c:f>
              <c:strCache>
                <c:ptCount val="1"/>
                <c:pt idx="0">
                  <c:v>B: Revenue ($M)</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Revenue_Sim!$A$30:$A$46</c:f>
              <c:strCache>
                <c:ptCount val="17"/>
                <c:pt idx="0">
                  <c:v>$55</c:v>
                </c:pt>
                <c:pt idx="1">
                  <c:v>$60</c:v>
                </c:pt>
                <c:pt idx="2">
                  <c:v>$65</c:v>
                </c:pt>
                <c:pt idx="3">
                  <c:v>$70</c:v>
                </c:pt>
                <c:pt idx="4">
                  <c:v>$75</c:v>
                </c:pt>
                <c:pt idx="5">
                  <c:v>$80</c:v>
                </c:pt>
                <c:pt idx="6">
                  <c:v>$85</c:v>
                </c:pt>
                <c:pt idx="7">
                  <c:v>$90</c:v>
                </c:pt>
                <c:pt idx="8">
                  <c:v>$95</c:v>
                </c:pt>
                <c:pt idx="9">
                  <c:v>$100</c:v>
                </c:pt>
                <c:pt idx="10">
                  <c:v>$105</c:v>
                </c:pt>
                <c:pt idx="11">
                  <c:v>$110</c:v>
                </c:pt>
                <c:pt idx="12">
                  <c:v>$115</c:v>
                </c:pt>
                <c:pt idx="13">
                  <c:v>$120</c:v>
                </c:pt>
                <c:pt idx="14">
                  <c:v>$125</c:v>
                </c:pt>
                <c:pt idx="15">
                  <c:v>$130</c:v>
                </c:pt>
                <c:pt idx="16">
                  <c:v>$135</c:v>
                </c:pt>
              </c:strCache>
            </c:strRef>
          </c:cat>
          <c:val>
            <c:numRef>
              <c:f>Revenue_Sim!$F$30:$F$46</c:f>
              <c:numCache>
                <c:formatCode>\$#,##0;"($"#,##0\);\-</c:formatCode>
                <c:ptCount val="17"/>
                <c:pt idx="0">
                  <c:v>5113.23630315807</c:v>
                </c:pt>
                <c:pt idx="1">
                  <c:v>5223.01040371865</c:v>
                </c:pt>
                <c:pt idx="2">
                  <c:v>5323</c:v>
                </c:pt>
                <c:pt idx="3">
                  <c:v>5413.20509200212</c:v>
                </c:pt>
                <c:pt idx="4">
                  <c:v>5493.62567972502</c:v>
                </c:pt>
                <c:pt idx="5">
                  <c:v>5564.26176316869</c:v>
                </c:pt>
                <c:pt idx="6">
                  <c:v>5625.11334233313</c:v>
                </c:pt>
                <c:pt idx="7">
                  <c:v>5676.18041721834</c:v>
                </c:pt>
                <c:pt idx="8">
                  <c:v>5717.46298782433</c:v>
                </c:pt>
                <c:pt idx="9">
                  <c:v>5748.9610541511</c:v>
                </c:pt>
                <c:pt idx="10">
                  <c:v>5770.67461619863</c:v>
                </c:pt>
                <c:pt idx="11">
                  <c:v>5782.60367396693</c:v>
                </c:pt>
                <c:pt idx="12">
                  <c:v>5784.74822745602</c:v>
                </c:pt>
                <c:pt idx="13">
                  <c:v>5777.10827666587</c:v>
                </c:pt>
                <c:pt idx="14">
                  <c:v>5759.6838215965</c:v>
                </c:pt>
                <c:pt idx="15">
                  <c:v>5732.4748622479</c:v>
                </c:pt>
                <c:pt idx="16">
                  <c:v>5695.48139862007</c:v>
                </c:pt>
              </c:numCache>
            </c:numRef>
          </c:val>
          <c:smooth val="1"/>
        </c:ser>
        <c:ser>
          <c:idx val="2"/>
          <c:order val="2"/>
          <c:tx>
            <c:strRef>
              <c:f>Revenue_Sim!H29</c:f>
              <c:strCache>
                <c:ptCount val="1"/>
                <c:pt idx="0">
                  <c:v>C: Revenue ($M)</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Revenue_Sim!$A$30:$A$46</c:f>
              <c:strCache>
                <c:ptCount val="17"/>
                <c:pt idx="0">
                  <c:v>$55</c:v>
                </c:pt>
                <c:pt idx="1">
                  <c:v>$60</c:v>
                </c:pt>
                <c:pt idx="2">
                  <c:v>$65</c:v>
                </c:pt>
                <c:pt idx="3">
                  <c:v>$70</c:v>
                </c:pt>
                <c:pt idx="4">
                  <c:v>$75</c:v>
                </c:pt>
                <c:pt idx="5">
                  <c:v>$80</c:v>
                </c:pt>
                <c:pt idx="6">
                  <c:v>$85</c:v>
                </c:pt>
                <c:pt idx="7">
                  <c:v>$90</c:v>
                </c:pt>
                <c:pt idx="8">
                  <c:v>$95</c:v>
                </c:pt>
                <c:pt idx="9">
                  <c:v>$100</c:v>
                </c:pt>
                <c:pt idx="10">
                  <c:v>$105</c:v>
                </c:pt>
                <c:pt idx="11">
                  <c:v>$110</c:v>
                </c:pt>
                <c:pt idx="12">
                  <c:v>$115</c:v>
                </c:pt>
                <c:pt idx="13">
                  <c:v>$120</c:v>
                </c:pt>
                <c:pt idx="14">
                  <c:v>$125</c:v>
                </c:pt>
                <c:pt idx="15">
                  <c:v>$130</c:v>
                </c:pt>
                <c:pt idx="16">
                  <c:v>$135</c:v>
                </c:pt>
              </c:strCache>
            </c:strRef>
          </c:cat>
          <c:val>
            <c:numRef>
              <c:f>Revenue_Sim!$H$30:$H$46</c:f>
              <c:numCache>
                <c:formatCode>\$#,##0;"($"#,##0\);\-</c:formatCode>
                <c:ptCount val="17"/>
                <c:pt idx="0">
                  <c:v>5104.05472996949</c:v>
                </c:pt>
                <c:pt idx="1">
                  <c:v>5220.65825545959</c:v>
                </c:pt>
                <c:pt idx="2">
                  <c:v>5323</c:v>
                </c:pt>
                <c:pt idx="3">
                  <c:v>5410.76927674318</c:v>
                </c:pt>
                <c:pt idx="4">
                  <c:v>5483.77466288732</c:v>
                </c:pt>
                <c:pt idx="5">
                  <c:v>5541.94303630952</c:v>
                </c:pt>
                <c:pt idx="6">
                  <c:v>5585.31725539258</c:v>
                </c:pt>
                <c:pt idx="7">
                  <c:v>5614.05254963081</c:v>
                </c:pt>
                <c:pt idx="8">
                  <c:v>5628.41170682294</c:v>
                </c:pt>
                <c:pt idx="9">
                  <c:v>5628.75915885207</c:v>
                </c:pt>
                <c:pt idx="10">
                  <c:v>5615.55408195841</c:v>
                </c:pt>
                <c:pt idx="11">
                  <c:v>5589.34263883353</c:v>
                </c:pt>
                <c:pt idx="12">
                  <c:v>5550.74949866629</c:v>
                </c:pt>
                <c:pt idx="13">
                  <c:v>5500.46877737382</c:v>
                </c:pt>
                <c:pt idx="14">
                  <c:v>5439.25454363926</c:v>
                </c:pt>
                <c:pt idx="15">
                  <c:v>5367.91103709324</c:v>
                </c:pt>
                <c:pt idx="16">
                  <c:v>5287.28274311506</c:v>
                </c:pt>
              </c:numCache>
            </c:numRef>
          </c:val>
          <c:smooth val="1"/>
        </c:ser>
        <c:hiLowLines>
          <c:spPr>
            <a:ln w="0">
              <a:noFill/>
            </a:ln>
          </c:spPr>
        </c:hiLowLines>
        <c:marker val="0"/>
        <c:axId val="33617436"/>
        <c:axId val="92724363"/>
      </c:lineChart>
      <c:catAx>
        <c:axId val="336174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Gold Star fee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724363"/>
        <c:crosses val="autoZero"/>
        <c:auto val="1"/>
        <c:lblAlgn val="ctr"/>
        <c:lblOffset val="100"/>
        <c:noMultiLvlLbl val="0"/>
      </c:catAx>
      <c:valAx>
        <c:axId val="927243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Fee income ($M)</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6174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53</xdr:row>
      <xdr:rowOff>160560</xdr:rowOff>
    </xdr:from>
    <xdr:to>
      <xdr:col>9</xdr:col>
      <xdr:colOff>840600</xdr:colOff>
      <xdr:row>66</xdr:row>
      <xdr:rowOff>171360</xdr:rowOff>
    </xdr:to>
    <xdr:graphicFrame>
      <xdr:nvGraphicFramePr>
        <xdr:cNvPr id="0" name="Chart 1"/>
        <xdr:cNvGraphicFramePr/>
      </xdr:nvGraphicFramePr>
      <xdr:xfrm>
        <a:off x="7330320" y="1369692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false" outlineLevel="0" collapsed="false">
      <c r="A9" s="5" t="s">
        <v>11</v>
      </c>
      <c r="B9" s="6" t="s">
        <v>12</v>
      </c>
    </row>
    <row r="10" customFormat="false" ht="15" hidden="false" customHeight="false" outlineLevel="0" collapsed="false">
      <c r="A10" s="5" t="s">
        <v>13</v>
      </c>
      <c r="B10" s="6" t="s">
        <v>14</v>
      </c>
    </row>
    <row r="12" customFormat="false" ht="15" hidden="false" customHeight="false" outlineLevel="0" collapsed="false">
      <c r="A12" s="3" t="s">
        <v>15</v>
      </c>
      <c r="B12" s="4"/>
    </row>
    <row r="13" customFormat="false" ht="15" hidden="false" customHeight="false" outlineLevel="0" collapsed="false">
      <c r="A13" s="7" t="s">
        <v>16</v>
      </c>
      <c r="B13" s="6" t="s">
        <v>17</v>
      </c>
    </row>
    <row r="14" customFormat="false" ht="15" hidden="false" customHeight="false" outlineLevel="0" collapsed="false">
      <c r="A14" s="5" t="s">
        <v>18</v>
      </c>
      <c r="B14" s="6" t="s">
        <v>19</v>
      </c>
    </row>
    <row r="15" customFormat="false" ht="15" hidden="false" customHeight="false" outlineLevel="0" collapsed="false">
      <c r="A15" s="8" t="s">
        <v>20</v>
      </c>
      <c r="B15" s="6" t="s">
        <v>21</v>
      </c>
    </row>
    <row r="16" customFormat="false" ht="15" hidden="false" customHeight="false" outlineLevel="0" collapsed="false">
      <c r="A16" s="9" t="s">
        <v>22</v>
      </c>
      <c r="B16" s="6" t="s">
        <v>23</v>
      </c>
    </row>
    <row r="17" customFormat="false" ht="15" hidden="false" customHeight="false" outlineLevel="0" collapsed="false">
      <c r="A17" s="10" t="s">
        <v>24</v>
      </c>
      <c r="B17" s="6" t="s">
        <v>25</v>
      </c>
    </row>
    <row r="18" customFormat="false" ht="15" hidden="false" customHeight="false" outlineLevel="0" collapsed="false">
      <c r="A18" s="11" t="s">
        <v>26</v>
      </c>
      <c r="B18" s="6" t="s">
        <v>27</v>
      </c>
    </row>
    <row r="20" customFormat="false" ht="15" hidden="false" customHeight="false" outlineLevel="0" collapsed="false">
      <c r="A20" s="3" t="s">
        <v>28</v>
      </c>
      <c r="B20" s="4"/>
    </row>
    <row r="21" customFormat="false" ht="15" hidden="false" customHeight="false" outlineLevel="0" collapsed="false">
      <c r="A21" s="5" t="s">
        <v>29</v>
      </c>
      <c r="B21" s="6" t="s">
        <v>30</v>
      </c>
    </row>
    <row r="22" customFormat="false" ht="15" hidden="false" customHeight="false" outlineLevel="0" collapsed="false">
      <c r="A22" s="5" t="s">
        <v>31</v>
      </c>
      <c r="B22" s="6" t="s">
        <v>32</v>
      </c>
    </row>
    <row r="23" customFormat="false" ht="15" hidden="false" customHeight="false" outlineLevel="0" collapsed="false">
      <c r="A23" s="5" t="s">
        <v>33</v>
      </c>
      <c r="B23" s="6" t="s">
        <v>34</v>
      </c>
    </row>
    <row r="24" customFormat="false" ht="15" hidden="false" customHeight="false" outlineLevel="0" collapsed="false">
      <c r="A24" s="5" t="s">
        <v>35</v>
      </c>
      <c r="B24" s="6" t="s">
        <v>36</v>
      </c>
    </row>
    <row r="25" customFormat="false" ht="15" hidden="false" customHeight="false" outlineLevel="0" collapsed="false">
      <c r="A25" s="5" t="s">
        <v>37</v>
      </c>
      <c r="B25" s="6" t="s">
        <v>38</v>
      </c>
    </row>
    <row r="26" customFormat="false" ht="15" hidden="false" customHeight="false" outlineLevel="0" collapsed="false">
      <c r="A26" s="5" t="s">
        <v>39</v>
      </c>
      <c r="B26" s="6"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8"/>
    <col collapsed="false" customWidth="true" hidden="false" outlineLevel="0" max="6" min="4" style="0" width="11"/>
    <col collapsed="false" customWidth="true" hidden="false" outlineLevel="0" max="8" min="7" style="0" width="12"/>
    <col collapsed="false" customWidth="true" hidden="false" outlineLevel="0" max="10" min="9" style="0" width="13"/>
    <col collapsed="false" customWidth="true" hidden="false" outlineLevel="0" max="13" min="11" style="0" width="12"/>
    <col collapsed="false" customWidth="true" hidden="false" outlineLevel="0" max="14" min="14" style="0" width="14"/>
    <col collapsed="false" customWidth="true" hidden="false" outlineLevel="0" max="16" min="15" style="0" width="11"/>
    <col collapsed="false" customWidth="true" hidden="false" outlineLevel="0" max="17" min="17" style="0" width="12"/>
    <col collapsed="false" customWidth="true" hidden="false" outlineLevel="0" max="18" min="18" style="0" width="11"/>
    <col collapsed="false" customWidth="true" hidden="false" outlineLevel="0" max="21" min="19" style="0" width="12"/>
    <col collapsed="false" customWidth="true" hidden="false" outlineLevel="0" max="22" min="22" style="0" width="13"/>
    <col collapsed="false" customWidth="true" hidden="false" outlineLevel="0" max="23" min="23" style="0" width="12"/>
    <col collapsed="false" customWidth="true" hidden="false" outlineLevel="0" max="25" min="24" style="0" width="11"/>
    <col collapsed="false" customWidth="true" hidden="false" outlineLevel="0" max="26" min="26" style="0" width="12"/>
    <col collapsed="false" customWidth="true" hidden="false" outlineLevel="0" max="27" min="27" style="0" width="13"/>
    <col collapsed="false" customWidth="true" hidden="false" outlineLevel="0" max="28" min="28" style="0" width="46"/>
  </cols>
  <sheetData>
    <row r="1" customFormat="false" ht="17.35" hidden="false" customHeight="false" outlineLevel="0" collapsed="false">
      <c r="A1" s="1" t="s">
        <v>41</v>
      </c>
    </row>
    <row r="2" customFormat="false" ht="15" hidden="false" customHeight="false" outlineLevel="0" collapsed="false">
      <c r="A2" s="2" t="s">
        <v>42</v>
      </c>
    </row>
    <row r="3" customFormat="false" ht="15" hidden="false" customHeight="false" outlineLevel="0" collapsed="false">
      <c r="A3" s="2" t="s">
        <v>43</v>
      </c>
    </row>
    <row r="5" customFormat="false" ht="78" hidden="false" customHeight="true" outlineLevel="0" collapsed="false">
      <c r="A5" s="12" t="s">
        <v>44</v>
      </c>
      <c r="B5" s="12" t="s">
        <v>45</v>
      </c>
      <c r="C5" s="12" t="s">
        <v>46</v>
      </c>
      <c r="D5" s="12" t="s">
        <v>47</v>
      </c>
      <c r="E5" s="12" t="s">
        <v>48</v>
      </c>
      <c r="F5" s="12" t="s">
        <v>49</v>
      </c>
      <c r="G5" s="12" t="s">
        <v>50</v>
      </c>
      <c r="H5" s="12" t="s">
        <v>51</v>
      </c>
      <c r="I5" s="12" t="s">
        <v>52</v>
      </c>
      <c r="J5" s="12" t="s">
        <v>53</v>
      </c>
      <c r="K5" s="12" t="s">
        <v>54</v>
      </c>
      <c r="L5" s="12" t="s">
        <v>55</v>
      </c>
      <c r="M5" s="12" t="s">
        <v>56</v>
      </c>
      <c r="N5" s="12" t="s">
        <v>57</v>
      </c>
      <c r="O5" s="12" t="s">
        <v>58</v>
      </c>
      <c r="P5" s="12" t="s">
        <v>59</v>
      </c>
      <c r="Q5" s="12" t="s">
        <v>60</v>
      </c>
      <c r="R5" s="12" t="s">
        <v>61</v>
      </c>
      <c r="S5" s="12" t="s">
        <v>62</v>
      </c>
      <c r="T5" s="12" t="s">
        <v>63</v>
      </c>
      <c r="U5" s="12" t="s">
        <v>64</v>
      </c>
      <c r="V5" s="12" t="s">
        <v>65</v>
      </c>
      <c r="W5" s="12" t="s">
        <v>66</v>
      </c>
      <c r="X5" s="12" t="s">
        <v>67</v>
      </c>
      <c r="Y5" s="12" t="s">
        <v>68</v>
      </c>
      <c r="Z5" s="12" t="s">
        <v>69</v>
      </c>
      <c r="AA5" s="12" t="s">
        <v>70</v>
      </c>
      <c r="AB5" s="12" t="s">
        <v>71</v>
      </c>
    </row>
    <row r="6" customFormat="false" ht="23.85" hidden="false" customHeight="false" outlineLevel="0" collapsed="false">
      <c r="A6" s="13" t="n">
        <v>2014</v>
      </c>
      <c r="B6" s="14" t="n">
        <v>41882</v>
      </c>
      <c r="C6" s="15" t="n">
        <v>52</v>
      </c>
      <c r="D6" s="16" t="n">
        <v>55</v>
      </c>
      <c r="E6" s="16" t="n">
        <v>55</v>
      </c>
      <c r="F6" s="16" t="n">
        <v>110</v>
      </c>
      <c r="G6" s="17" t="n">
        <v>42000</v>
      </c>
      <c r="H6" s="17" t="n">
        <v>10400</v>
      </c>
      <c r="I6" s="18" t="n">
        <f aca="false">G6-H6</f>
        <v>31600</v>
      </c>
      <c r="J6" s="19" t="n">
        <v>0.39</v>
      </c>
      <c r="K6" s="20" t="n">
        <f aca="false">J6*G6</f>
        <v>16380</v>
      </c>
      <c r="L6" s="21" t="n">
        <f aca="false">K6/G6</f>
        <v>0.39</v>
      </c>
      <c r="M6" s="17" t="n">
        <v>76400</v>
      </c>
      <c r="N6" s="18" t="n">
        <f aca="false">M6-G6</f>
        <v>34400</v>
      </c>
      <c r="O6" s="22" t="s">
        <v>72</v>
      </c>
      <c r="P6" s="22" t="s">
        <v>72</v>
      </c>
      <c r="Q6" s="23" t="n">
        <v>2428</v>
      </c>
      <c r="R6" s="23" t="n">
        <v>663</v>
      </c>
      <c r="S6" s="17" t="n">
        <v>0</v>
      </c>
      <c r="T6" s="24" t="n">
        <f aca="false">Q6*1000/G6</f>
        <v>57.8095238095238</v>
      </c>
      <c r="U6" s="25" t="n">
        <f aca="false">G6/R6</f>
        <v>63.3484162895928</v>
      </c>
      <c r="V6" s="22" t="s">
        <v>72</v>
      </c>
      <c r="W6" s="22" t="s">
        <v>72</v>
      </c>
      <c r="X6" s="22" t="s">
        <v>72</v>
      </c>
      <c r="Y6" s="22" t="s">
        <v>72</v>
      </c>
      <c r="Z6" s="22" t="s">
        <v>72</v>
      </c>
      <c r="AA6" s="22" t="s">
        <v>72</v>
      </c>
      <c r="AB6" s="26" t="s">
        <v>73</v>
      </c>
    </row>
    <row r="7" customFormat="false" ht="23.85" hidden="false" customHeight="false" outlineLevel="0" collapsed="false">
      <c r="A7" s="13" t="n">
        <v>2015</v>
      </c>
      <c r="B7" s="14" t="n">
        <v>42246</v>
      </c>
      <c r="C7" s="15" t="n">
        <v>52</v>
      </c>
      <c r="D7" s="16" t="n">
        <v>55</v>
      </c>
      <c r="E7" s="16" t="n">
        <v>55</v>
      </c>
      <c r="F7" s="16" t="n">
        <v>110</v>
      </c>
      <c r="G7" s="17" t="n">
        <v>44600</v>
      </c>
      <c r="H7" s="17" t="n">
        <v>10600</v>
      </c>
      <c r="I7" s="18" t="n">
        <f aca="false">G7-H7</f>
        <v>34000</v>
      </c>
      <c r="J7" s="19" t="n">
        <v>0.39</v>
      </c>
      <c r="K7" s="20" t="n">
        <f aca="false">J7*G7</f>
        <v>17394</v>
      </c>
      <c r="L7" s="21" t="n">
        <f aca="false">K7/G7</f>
        <v>0.39</v>
      </c>
      <c r="M7" s="17" t="n">
        <v>81300</v>
      </c>
      <c r="N7" s="18" t="n">
        <f aca="false">M7-G7</f>
        <v>36700</v>
      </c>
      <c r="O7" s="22" t="s">
        <v>72</v>
      </c>
      <c r="P7" s="22" t="s">
        <v>72</v>
      </c>
      <c r="Q7" s="23" t="n">
        <v>2533</v>
      </c>
      <c r="R7" s="23" t="n">
        <v>686</v>
      </c>
      <c r="S7" s="17" t="n">
        <v>0</v>
      </c>
      <c r="T7" s="24" t="n">
        <f aca="false">Q7*1000/G7</f>
        <v>56.7937219730942</v>
      </c>
      <c r="U7" s="25" t="n">
        <f aca="false">G7/R7</f>
        <v>65.0145772594752</v>
      </c>
      <c r="V7" s="21" t="n">
        <f aca="false">(G7-S7)/G6-1</f>
        <v>0.0619047619047619</v>
      </c>
      <c r="W7" s="27" t="n">
        <f aca="false">LN((G7-S7)/G6)</f>
        <v>0.0600642407426501</v>
      </c>
      <c r="X7" s="22" t="s">
        <v>72</v>
      </c>
      <c r="Y7" s="27" t="n">
        <f aca="false">LN(E7/E6)</f>
        <v>0</v>
      </c>
      <c r="Z7" s="27" t="n">
        <f aca="false">LN(R7/R6)</f>
        <v>0.0341026375400228</v>
      </c>
      <c r="AA7" s="22" t="s">
        <v>72</v>
      </c>
      <c r="AB7" s="26" t="s">
        <v>74</v>
      </c>
    </row>
    <row r="8" customFormat="false" ht="15" hidden="false" customHeight="false" outlineLevel="0" collapsed="false">
      <c r="A8" s="13" t="n">
        <v>2016</v>
      </c>
      <c r="B8" s="14" t="n">
        <v>42610</v>
      </c>
      <c r="C8" s="15" t="n">
        <v>52</v>
      </c>
      <c r="D8" s="16" t="n">
        <v>55</v>
      </c>
      <c r="E8" s="16" t="n">
        <v>55</v>
      </c>
      <c r="F8" s="16" t="n">
        <v>110</v>
      </c>
      <c r="G8" s="17" t="n">
        <v>47600</v>
      </c>
      <c r="H8" s="17" t="n">
        <v>10800</v>
      </c>
      <c r="I8" s="18" t="n">
        <f aca="false">G8-H8</f>
        <v>36800</v>
      </c>
      <c r="J8" s="19" t="n">
        <v>0.39</v>
      </c>
      <c r="K8" s="20" t="n">
        <f aca="false">J8*G8</f>
        <v>18564</v>
      </c>
      <c r="L8" s="21" t="n">
        <f aca="false">K8/G8</f>
        <v>0.39</v>
      </c>
      <c r="M8" s="17" t="n">
        <v>86700</v>
      </c>
      <c r="N8" s="18" t="n">
        <f aca="false">M8-G8</f>
        <v>39100</v>
      </c>
      <c r="O8" s="28" t="n">
        <v>0.9</v>
      </c>
      <c r="P8" s="28" t="n">
        <v>0.88</v>
      </c>
      <c r="Q8" s="17" t="n">
        <v>2646</v>
      </c>
      <c r="R8" s="17" t="n">
        <v>715</v>
      </c>
      <c r="S8" s="17" t="n">
        <v>0</v>
      </c>
      <c r="T8" s="24" t="n">
        <f aca="false">Q8*1000/G8</f>
        <v>55.5882352941176</v>
      </c>
      <c r="U8" s="25" t="n">
        <f aca="false">G8/R8</f>
        <v>66.5734265734266</v>
      </c>
      <c r="V8" s="21" t="n">
        <f aca="false">(G8-S8)/G7-1</f>
        <v>0.0672645739910314</v>
      </c>
      <c r="W8" s="27" t="n">
        <f aca="false">LN((G8-S8)/G7)</f>
        <v>0.0650989022113559</v>
      </c>
      <c r="X8" s="27" t="n">
        <f aca="false">Y7</f>
        <v>0</v>
      </c>
      <c r="Y8" s="27" t="n">
        <f aca="false">LN(E8/E7)</f>
        <v>0</v>
      </c>
      <c r="Z8" s="27" t="n">
        <f aca="false">LN(R8/R7)</f>
        <v>0.0414049149681225</v>
      </c>
      <c r="AA8" s="22" t="s">
        <v>72</v>
      </c>
      <c r="AB8" s="26" t="s">
        <v>75</v>
      </c>
    </row>
    <row r="9" customFormat="false" ht="15" hidden="false" customHeight="false" outlineLevel="0" collapsed="false">
      <c r="A9" s="13" t="n">
        <v>2017</v>
      </c>
      <c r="B9" s="14" t="n">
        <v>42981</v>
      </c>
      <c r="C9" s="15" t="n">
        <v>53</v>
      </c>
      <c r="D9" s="16" t="n">
        <v>55</v>
      </c>
      <c r="E9" s="16" t="n">
        <v>60</v>
      </c>
      <c r="F9" s="16" t="n">
        <v>120</v>
      </c>
      <c r="G9" s="17" t="n">
        <v>49400</v>
      </c>
      <c r="H9" s="17" t="n">
        <v>10800</v>
      </c>
      <c r="I9" s="18" t="n">
        <f aca="false">G9-H9</f>
        <v>38600</v>
      </c>
      <c r="J9" s="19" t="n">
        <v>0.38</v>
      </c>
      <c r="K9" s="20" t="n">
        <f aca="false">J9*G9</f>
        <v>18772</v>
      </c>
      <c r="L9" s="21" t="n">
        <f aca="false">K9/G9</f>
        <v>0.38</v>
      </c>
      <c r="M9" s="17" t="n">
        <v>90300</v>
      </c>
      <c r="N9" s="18" t="n">
        <f aca="false">M9-G9</f>
        <v>40900</v>
      </c>
      <c r="O9" s="28" t="n">
        <v>0.9</v>
      </c>
      <c r="P9" s="28" t="n">
        <v>0.87</v>
      </c>
      <c r="Q9" s="17" t="n">
        <v>2853</v>
      </c>
      <c r="R9" s="17" t="n">
        <v>741</v>
      </c>
      <c r="S9" s="17" t="n">
        <v>0</v>
      </c>
      <c r="T9" s="24" t="n">
        <f aca="false">Q9*1000/G9</f>
        <v>57.753036437247</v>
      </c>
      <c r="U9" s="25" t="n">
        <f aca="false">G9/R9</f>
        <v>66.6666666666667</v>
      </c>
      <c r="V9" s="21" t="n">
        <f aca="false">(G9-S9)/G8-1</f>
        <v>0.0378151260504203</v>
      </c>
      <c r="W9" s="27" t="n">
        <f aca="false">LN((G9-S9)/G8)</f>
        <v>0.0371176629565026</v>
      </c>
      <c r="X9" s="27" t="n">
        <f aca="false">Y8</f>
        <v>0</v>
      </c>
      <c r="Y9" s="27" t="n">
        <f aca="false">LN(E9/E8)</f>
        <v>0.0870113769896297</v>
      </c>
      <c r="Z9" s="27" t="n">
        <f aca="false">LN(R9/R8)</f>
        <v>0.0357180826020792</v>
      </c>
      <c r="AA9" s="21" t="n">
        <f aca="false">O9-O8</f>
        <v>0</v>
      </c>
      <c r="AB9" s="26" t="s">
        <v>76</v>
      </c>
    </row>
    <row r="10" customFormat="false" ht="15" hidden="false" customHeight="false" outlineLevel="0" collapsed="false">
      <c r="A10" s="13" t="n">
        <v>2018</v>
      </c>
      <c r="B10" s="14" t="n">
        <v>43345</v>
      </c>
      <c r="C10" s="15" t="n">
        <v>52</v>
      </c>
      <c r="D10" s="16" t="n">
        <v>60</v>
      </c>
      <c r="E10" s="16" t="n">
        <v>60</v>
      </c>
      <c r="F10" s="16" t="n">
        <v>120</v>
      </c>
      <c r="G10" s="17" t="n">
        <v>51600</v>
      </c>
      <c r="H10" s="17" t="n">
        <v>10900</v>
      </c>
      <c r="I10" s="18" t="n">
        <f aca="false">G10-H10</f>
        <v>40700</v>
      </c>
      <c r="J10" s="19" t="n">
        <v>0.37</v>
      </c>
      <c r="K10" s="20" t="n">
        <f aca="false">J10*G10</f>
        <v>19092</v>
      </c>
      <c r="L10" s="21" t="n">
        <f aca="false">K10/G10</f>
        <v>0.37</v>
      </c>
      <c r="M10" s="17" t="n">
        <v>94300</v>
      </c>
      <c r="N10" s="18" t="n">
        <f aca="false">M10-G10</f>
        <v>42700</v>
      </c>
      <c r="O10" s="28" t="n">
        <v>0.9</v>
      </c>
      <c r="P10" s="28" t="n">
        <v>0.88</v>
      </c>
      <c r="Q10" s="17" t="n">
        <v>3142</v>
      </c>
      <c r="R10" s="17" t="n">
        <v>762</v>
      </c>
      <c r="S10" s="17" t="n">
        <v>0</v>
      </c>
      <c r="T10" s="24" t="n">
        <f aca="false">Q10*1000/G10</f>
        <v>60.8914728682171</v>
      </c>
      <c r="U10" s="25" t="n">
        <f aca="false">G10/R10</f>
        <v>67.7165354330709</v>
      </c>
      <c r="V10" s="21" t="n">
        <f aca="false">(G10-S10)/G9-1</f>
        <v>0.0445344129554657</v>
      </c>
      <c r="W10" s="27" t="n">
        <f aca="false">LN((G10-S10)/G9)</f>
        <v>0.0435712482936403</v>
      </c>
      <c r="X10" s="27" t="n">
        <f aca="false">Y9</f>
        <v>0.0870113769896297</v>
      </c>
      <c r="Y10" s="27" t="n">
        <f aca="false">LN(E10/E9)</f>
        <v>0</v>
      </c>
      <c r="Z10" s="27" t="n">
        <f aca="false">LN(R10/R9)</f>
        <v>0.0279459303905593</v>
      </c>
      <c r="AA10" s="21" t="n">
        <f aca="false">O10-O9</f>
        <v>0</v>
      </c>
      <c r="AB10" s="26" t="s">
        <v>77</v>
      </c>
    </row>
    <row r="11" customFormat="false" ht="15" hidden="false" customHeight="false" outlineLevel="0" collapsed="false">
      <c r="A11" s="13" t="n">
        <v>2019</v>
      </c>
      <c r="B11" s="14" t="n">
        <v>43709</v>
      </c>
      <c r="C11" s="15" t="n">
        <v>52</v>
      </c>
      <c r="D11" s="16" t="n">
        <v>60</v>
      </c>
      <c r="E11" s="16" t="n">
        <v>60</v>
      </c>
      <c r="F11" s="16" t="n">
        <v>120</v>
      </c>
      <c r="G11" s="17" t="n">
        <v>53900</v>
      </c>
      <c r="H11" s="17" t="n">
        <v>11000</v>
      </c>
      <c r="I11" s="18" t="n">
        <f aca="false">G11-H11</f>
        <v>42900</v>
      </c>
      <c r="J11" s="19" t="n">
        <v>0.39</v>
      </c>
      <c r="K11" s="20" t="n">
        <f aca="false">J11*G11</f>
        <v>21021</v>
      </c>
      <c r="L11" s="21" t="n">
        <f aca="false">K11/G11</f>
        <v>0.39</v>
      </c>
      <c r="M11" s="17" t="n">
        <v>98500</v>
      </c>
      <c r="N11" s="18" t="n">
        <f aca="false">M11-G11</f>
        <v>44600</v>
      </c>
      <c r="O11" s="28" t="n">
        <v>0.91</v>
      </c>
      <c r="P11" s="28" t="n">
        <v>0.88</v>
      </c>
      <c r="Q11" s="17" t="n">
        <v>3352</v>
      </c>
      <c r="R11" s="17" t="n">
        <v>782</v>
      </c>
      <c r="S11" s="17" t="n">
        <v>0</v>
      </c>
      <c r="T11" s="24" t="n">
        <f aca="false">Q11*1000/G11</f>
        <v>62.1892393320965</v>
      </c>
      <c r="U11" s="25" t="n">
        <f aca="false">G11/R11</f>
        <v>68.925831202046</v>
      </c>
      <c r="V11" s="21" t="n">
        <f aca="false">(G11-S11)/G10-1</f>
        <v>0.0445736434108528</v>
      </c>
      <c r="W11" s="27" t="n">
        <f aca="false">LN((G11-S11)/G10)</f>
        <v>0.0436088054274345</v>
      </c>
      <c r="X11" s="27" t="n">
        <f aca="false">Y10</f>
        <v>0</v>
      </c>
      <c r="Y11" s="27" t="n">
        <f aca="false">LN(E11/E10)</f>
        <v>0</v>
      </c>
      <c r="Z11" s="27" t="n">
        <f aca="false">LN(R11/R10)</f>
        <v>0.0259081848586648</v>
      </c>
      <c r="AA11" s="21" t="n">
        <f aca="false">O11-O10</f>
        <v>0.01</v>
      </c>
      <c r="AB11" s="26" t="s">
        <v>78</v>
      </c>
    </row>
    <row r="12" customFormat="false" ht="15" hidden="false" customHeight="false" outlineLevel="0" collapsed="false">
      <c r="A12" s="13" t="n">
        <v>2020</v>
      </c>
      <c r="B12" s="14" t="n">
        <v>44073</v>
      </c>
      <c r="C12" s="15" t="n">
        <v>52</v>
      </c>
      <c r="D12" s="16" t="n">
        <v>60</v>
      </c>
      <c r="E12" s="16" t="n">
        <v>60</v>
      </c>
      <c r="F12" s="16" t="n">
        <v>120</v>
      </c>
      <c r="G12" s="17" t="n">
        <v>58100</v>
      </c>
      <c r="H12" s="17" t="n">
        <v>11300</v>
      </c>
      <c r="I12" s="18" t="n">
        <f aca="false">G12-H12</f>
        <v>46800</v>
      </c>
      <c r="J12" s="22" t="s">
        <v>72</v>
      </c>
      <c r="K12" s="17" t="n">
        <v>22600</v>
      </c>
      <c r="L12" s="21" t="n">
        <f aca="false">K12/G12</f>
        <v>0.388984509466437</v>
      </c>
      <c r="M12" s="17" t="n">
        <v>105500</v>
      </c>
      <c r="N12" s="18" t="n">
        <f aca="false">M12-G12</f>
        <v>47400</v>
      </c>
      <c r="O12" s="28" t="n">
        <v>0.91</v>
      </c>
      <c r="P12" s="28" t="n">
        <v>0.88</v>
      </c>
      <c r="Q12" s="17" t="n">
        <v>3541</v>
      </c>
      <c r="R12" s="17" t="n">
        <v>795</v>
      </c>
      <c r="S12" s="17" t="n">
        <v>1300</v>
      </c>
      <c r="T12" s="24" t="n">
        <f aca="false">Q12*1000/G12</f>
        <v>60.9466437177281</v>
      </c>
      <c r="U12" s="25" t="n">
        <f aca="false">G12/R12</f>
        <v>73.0817610062893</v>
      </c>
      <c r="V12" s="21" t="n">
        <f aca="false">(G12-S12)/G11-1</f>
        <v>0.0538033395176252</v>
      </c>
      <c r="W12" s="27" t="n">
        <f aca="false">LN((G12-S12)/G11)</f>
        <v>0.0524058478121541</v>
      </c>
      <c r="X12" s="27" t="n">
        <f aca="false">Y11</f>
        <v>0</v>
      </c>
      <c r="Y12" s="27" t="n">
        <f aca="false">LN(E12/E11)</f>
        <v>0</v>
      </c>
      <c r="Z12" s="27" t="n">
        <f aca="false">LN(R12/R11)</f>
        <v>0.0164873741090208</v>
      </c>
      <c r="AA12" s="21" t="n">
        <f aca="false">O12-O11</f>
        <v>0</v>
      </c>
      <c r="AB12" s="26" t="s">
        <v>79</v>
      </c>
    </row>
    <row r="13" customFormat="false" ht="15" hidden="false" customHeight="false" outlineLevel="0" collapsed="false">
      <c r="A13" s="13" t="n">
        <v>2021</v>
      </c>
      <c r="B13" s="14" t="n">
        <v>44437</v>
      </c>
      <c r="C13" s="15" t="n">
        <v>52</v>
      </c>
      <c r="D13" s="16" t="n">
        <v>60</v>
      </c>
      <c r="E13" s="16" t="n">
        <v>60</v>
      </c>
      <c r="F13" s="16" t="n">
        <v>120</v>
      </c>
      <c r="G13" s="17" t="n">
        <v>61700</v>
      </c>
      <c r="H13" s="17" t="n">
        <v>11500</v>
      </c>
      <c r="I13" s="18" t="n">
        <f aca="false">G13-H13</f>
        <v>50200</v>
      </c>
      <c r="J13" s="22" t="s">
        <v>72</v>
      </c>
      <c r="K13" s="17" t="n">
        <v>25600</v>
      </c>
      <c r="L13" s="21" t="n">
        <f aca="false">K13/G13</f>
        <v>0.414910858995138</v>
      </c>
      <c r="M13" s="17" t="n">
        <v>111600</v>
      </c>
      <c r="N13" s="18" t="n">
        <f aca="false">M13-G13</f>
        <v>49900</v>
      </c>
      <c r="O13" s="28" t="n">
        <v>0.91</v>
      </c>
      <c r="P13" s="28" t="n">
        <v>0.89</v>
      </c>
      <c r="Q13" s="17" t="n">
        <v>3877</v>
      </c>
      <c r="R13" s="17" t="n">
        <v>815</v>
      </c>
      <c r="S13" s="17" t="n">
        <v>0</v>
      </c>
      <c r="T13" s="24" t="n">
        <f aca="false">Q13*1000/G13</f>
        <v>62.8363047001621</v>
      </c>
      <c r="U13" s="25" t="n">
        <f aca="false">G13/R13</f>
        <v>75.7055214723926</v>
      </c>
      <c r="V13" s="21" t="n">
        <f aca="false">(G13-S13)/G12-1</f>
        <v>0.0619621342512908</v>
      </c>
      <c r="W13" s="27" t="n">
        <f aca="false">LN((G13-S13)/G12)</f>
        <v>0.0601182670534765</v>
      </c>
      <c r="X13" s="27" t="n">
        <f aca="false">Y12</f>
        <v>0</v>
      </c>
      <c r="Y13" s="27" t="n">
        <f aca="false">LN(E13/E12)</f>
        <v>0</v>
      </c>
      <c r="Z13" s="27" t="n">
        <f aca="false">LN(R13/R12)</f>
        <v>0.0248459985865308</v>
      </c>
      <c r="AA13" s="21" t="n">
        <f aca="false">O13-O12</f>
        <v>0</v>
      </c>
      <c r="AB13" s="26" t="s">
        <v>80</v>
      </c>
    </row>
    <row r="14" customFormat="false" ht="15" hidden="false" customHeight="false" outlineLevel="0" collapsed="false">
      <c r="A14" s="13" t="n">
        <v>2022</v>
      </c>
      <c r="B14" s="14" t="n">
        <v>44801</v>
      </c>
      <c r="C14" s="15" t="n">
        <v>52</v>
      </c>
      <c r="D14" s="16" t="n">
        <v>60</v>
      </c>
      <c r="E14" s="16" t="n">
        <v>60</v>
      </c>
      <c r="F14" s="16" t="n">
        <v>120</v>
      </c>
      <c r="G14" s="17" t="n">
        <v>65800</v>
      </c>
      <c r="H14" s="17" t="n">
        <v>11800</v>
      </c>
      <c r="I14" s="18" t="n">
        <f aca="false">G14-H14</f>
        <v>54000</v>
      </c>
      <c r="J14" s="22" t="s">
        <v>72</v>
      </c>
      <c r="K14" s="17" t="n">
        <v>29100</v>
      </c>
      <c r="L14" s="21" t="n">
        <f aca="false">K14/G14</f>
        <v>0.442249240121581</v>
      </c>
      <c r="M14" s="17" t="n">
        <v>118900</v>
      </c>
      <c r="N14" s="18" t="n">
        <f aca="false">M14-G14</f>
        <v>53100</v>
      </c>
      <c r="O14" s="28" t="n">
        <v>0.93</v>
      </c>
      <c r="P14" s="28" t="n">
        <v>0.9</v>
      </c>
      <c r="Q14" s="17" t="n">
        <v>4224</v>
      </c>
      <c r="R14" s="17" t="n">
        <v>838</v>
      </c>
      <c r="S14" s="17" t="n">
        <v>0</v>
      </c>
      <c r="T14" s="24" t="n">
        <f aca="false">Q14*1000/G14</f>
        <v>64.1945288753799</v>
      </c>
      <c r="U14" s="25" t="n">
        <f aca="false">G14/R14</f>
        <v>78.5202863961814</v>
      </c>
      <c r="V14" s="21" t="n">
        <f aca="false">(G14-S14)/G13-1</f>
        <v>0.0664505672609401</v>
      </c>
      <c r="W14" s="27" t="n">
        <f aca="false">LN((G14-S14)/G13)</f>
        <v>0.0643359074199295</v>
      </c>
      <c r="X14" s="27" t="n">
        <f aca="false">Y13</f>
        <v>0</v>
      </c>
      <c r="Y14" s="27" t="n">
        <f aca="false">LN(E14/E13)</f>
        <v>0</v>
      </c>
      <c r="Z14" s="27" t="n">
        <f aca="false">LN(R14/R13)</f>
        <v>0.0278299872412204</v>
      </c>
      <c r="AA14" s="21" t="n">
        <f aca="false">O14-O13</f>
        <v>0.02</v>
      </c>
      <c r="AB14" s="26" t="s">
        <v>81</v>
      </c>
    </row>
    <row r="15" customFormat="false" ht="15" hidden="false" customHeight="false" outlineLevel="0" collapsed="false">
      <c r="A15" s="13" t="n">
        <v>2023</v>
      </c>
      <c r="B15" s="14" t="n">
        <v>45172</v>
      </c>
      <c r="C15" s="15" t="n">
        <v>53</v>
      </c>
      <c r="D15" s="16" t="n">
        <v>60</v>
      </c>
      <c r="E15" s="16" t="n">
        <v>60</v>
      </c>
      <c r="F15" s="16" t="n">
        <v>120</v>
      </c>
      <c r="G15" s="17" t="n">
        <v>71000</v>
      </c>
      <c r="H15" s="17" t="n">
        <v>12200</v>
      </c>
      <c r="I15" s="18" t="n">
        <f aca="false">G15-H15</f>
        <v>58800</v>
      </c>
      <c r="J15" s="22" t="s">
        <v>72</v>
      </c>
      <c r="K15" s="17" t="n">
        <v>32300</v>
      </c>
      <c r="L15" s="21" t="n">
        <f aca="false">K15/G15</f>
        <v>0.454929577464789</v>
      </c>
      <c r="M15" s="17" t="n">
        <v>127900</v>
      </c>
      <c r="N15" s="18" t="n">
        <f aca="false">M15-G15</f>
        <v>56900</v>
      </c>
      <c r="O15" s="28" t="n">
        <v>0.927</v>
      </c>
      <c r="P15" s="28" t="n">
        <v>0.904</v>
      </c>
      <c r="Q15" s="17" t="n">
        <v>4580</v>
      </c>
      <c r="R15" s="17" t="n">
        <v>861</v>
      </c>
      <c r="S15" s="17" t="n">
        <v>0</v>
      </c>
      <c r="T15" s="24" t="n">
        <f aca="false">Q15*1000/G15</f>
        <v>64.5070422535211</v>
      </c>
      <c r="U15" s="25" t="n">
        <f aca="false">G15/R15</f>
        <v>82.4622531939605</v>
      </c>
      <c r="V15" s="21" t="n">
        <f aca="false">(G15-S15)/G14-1</f>
        <v>0.0790273556231003</v>
      </c>
      <c r="W15" s="27" t="n">
        <f aca="false">LN((G15-S15)/G14)</f>
        <v>0.0760600387100439</v>
      </c>
      <c r="X15" s="27" t="n">
        <f aca="false">Y14</f>
        <v>0</v>
      </c>
      <c r="Y15" s="27" t="n">
        <f aca="false">LN(E15/E14)</f>
        <v>0</v>
      </c>
      <c r="Z15" s="27" t="n">
        <f aca="false">LN(R15/R14)</f>
        <v>0.0270764039456477</v>
      </c>
      <c r="AA15" s="21" t="n">
        <f aca="false">O15-O14</f>
        <v>-0.003</v>
      </c>
      <c r="AB15" s="26" t="s">
        <v>82</v>
      </c>
    </row>
    <row r="16" customFormat="false" ht="15" hidden="false" customHeight="false" outlineLevel="0" collapsed="false">
      <c r="A16" s="13" t="n">
        <v>2024</v>
      </c>
      <c r="B16" s="14" t="n">
        <v>45536</v>
      </c>
      <c r="C16" s="15" t="n">
        <v>52</v>
      </c>
      <c r="D16" s="16" t="n">
        <v>60</v>
      </c>
      <c r="E16" s="16" t="n">
        <v>60</v>
      </c>
      <c r="F16" s="16" t="n">
        <v>120</v>
      </c>
      <c r="G16" s="17" t="n">
        <v>76200</v>
      </c>
      <c r="H16" s="17" t="n">
        <v>12500</v>
      </c>
      <c r="I16" s="18" t="n">
        <f aca="false">G16-H16</f>
        <v>63700</v>
      </c>
      <c r="J16" s="22" t="s">
        <v>72</v>
      </c>
      <c r="K16" s="17" t="n">
        <v>35400</v>
      </c>
      <c r="L16" s="21" t="n">
        <f aca="false">K16/G16</f>
        <v>0.464566929133858</v>
      </c>
      <c r="M16" s="17" t="n">
        <v>136800</v>
      </c>
      <c r="N16" s="18" t="n">
        <f aca="false">M16-G16</f>
        <v>60600</v>
      </c>
      <c r="O16" s="28" t="n">
        <v>0.929</v>
      </c>
      <c r="P16" s="28" t="n">
        <v>0.905</v>
      </c>
      <c r="Q16" s="17" t="n">
        <v>4828</v>
      </c>
      <c r="R16" s="17" t="n">
        <v>890</v>
      </c>
      <c r="S16" s="17" t="n">
        <v>0</v>
      </c>
      <c r="T16" s="24" t="n">
        <f aca="false">Q16*1000/G16</f>
        <v>63.3595800524934</v>
      </c>
      <c r="U16" s="25" t="n">
        <f aca="false">G16/R16</f>
        <v>85.6179775280899</v>
      </c>
      <c r="V16" s="21" t="n">
        <f aca="false">(G16-S16)/G15-1</f>
        <v>0.0732394366197182</v>
      </c>
      <c r="W16" s="27" t="n">
        <f aca="false">LN((G16-S16)/G15)</f>
        <v>0.0706815856512851</v>
      </c>
      <c r="X16" s="27" t="n">
        <f aca="false">Y15</f>
        <v>0</v>
      </c>
      <c r="Y16" s="27" t="n">
        <f aca="false">LN(E16/E15)</f>
        <v>0</v>
      </c>
      <c r="Z16" s="27" t="n">
        <f aca="false">LN(R16/R15)</f>
        <v>0.0331269582984547</v>
      </c>
      <c r="AA16" s="21" t="n">
        <f aca="false">O16-O15</f>
        <v>0.002</v>
      </c>
      <c r="AB16" s="26" t="s">
        <v>83</v>
      </c>
    </row>
    <row r="17" customFormat="false" ht="15" hidden="false" customHeight="false" outlineLevel="0" collapsed="false">
      <c r="A17" s="13" t="n">
        <v>2025</v>
      </c>
      <c r="B17" s="14" t="n">
        <v>45900</v>
      </c>
      <c r="C17" s="15" t="n">
        <v>52</v>
      </c>
      <c r="D17" s="16" t="n">
        <v>65</v>
      </c>
      <c r="E17" s="16" t="n">
        <v>65</v>
      </c>
      <c r="F17" s="16" t="n">
        <v>130</v>
      </c>
      <c r="G17" s="17" t="n">
        <v>81000</v>
      </c>
      <c r="H17" s="17" t="n">
        <v>12700</v>
      </c>
      <c r="I17" s="18" t="n">
        <f aca="false">G17-H17</f>
        <v>68300</v>
      </c>
      <c r="J17" s="22" t="s">
        <v>72</v>
      </c>
      <c r="K17" s="17" t="n">
        <v>38700</v>
      </c>
      <c r="L17" s="21" t="n">
        <f aca="false">K17/G17</f>
        <v>0.477777777777778</v>
      </c>
      <c r="M17" s="17" t="n">
        <v>145200</v>
      </c>
      <c r="N17" s="18" t="n">
        <f aca="false">M17-G17</f>
        <v>64200</v>
      </c>
      <c r="O17" s="28" t="n">
        <v>0.923</v>
      </c>
      <c r="P17" s="28" t="n">
        <v>0.898</v>
      </c>
      <c r="Q17" s="17" t="n">
        <v>5323</v>
      </c>
      <c r="R17" s="17" t="n">
        <v>914</v>
      </c>
      <c r="S17" s="17" t="n">
        <v>0</v>
      </c>
      <c r="T17" s="24" t="n">
        <f aca="false">Q17*1000/G17</f>
        <v>65.7160493827161</v>
      </c>
      <c r="U17" s="25" t="n">
        <f aca="false">G17/R17</f>
        <v>88.6214442013129</v>
      </c>
      <c r="V17" s="21" t="n">
        <f aca="false">(G17-S17)/G16-1</f>
        <v>0.0629921259842521</v>
      </c>
      <c r="W17" s="27" t="n">
        <f aca="false">LN((G17-S17)/G16)</f>
        <v>0.0610876919798383</v>
      </c>
      <c r="X17" s="27" t="n">
        <f aca="false">Y16</f>
        <v>0</v>
      </c>
      <c r="Y17" s="27" t="n">
        <f aca="false">LN(E17/E16)</f>
        <v>0.0800427076735364</v>
      </c>
      <c r="Z17" s="27" t="n">
        <f aca="false">LN(R17/R16)</f>
        <v>0.0266091087279645</v>
      </c>
      <c r="AA17" s="21" t="n">
        <f aca="false">O17-O16</f>
        <v>-0.00600000000000001</v>
      </c>
      <c r="AB17" s="26" t="s">
        <v>84</v>
      </c>
    </row>
    <row r="19" customFormat="false" ht="15" hidden="false" customHeight="false" outlineLevel="0" collapsed="false">
      <c r="A19" s="5" t="s">
        <v>85</v>
      </c>
    </row>
    <row r="20" customFormat="false" ht="15" hidden="false" customHeight="false" outlineLevel="0" collapsed="false">
      <c r="A20" s="29" t="s">
        <v>86</v>
      </c>
    </row>
    <row r="21" customFormat="false" ht="15" hidden="false" customHeight="false" outlineLevel="0" collapsed="false">
      <c r="A21" s="29" t="s">
        <v>87</v>
      </c>
    </row>
    <row r="22" customFormat="false" ht="15" hidden="false" customHeight="false" outlineLevel="0" collapsed="false">
      <c r="A22" s="29" t="s">
        <v>88</v>
      </c>
    </row>
    <row r="23" customFormat="false" ht="15" hidden="false" customHeight="false" outlineLevel="0" collapsed="false">
      <c r="A23" s="29" t="s">
        <v>89</v>
      </c>
    </row>
    <row r="24" customFormat="false" ht="15" hidden="false" customHeight="false" outlineLevel="0" collapsed="false">
      <c r="A24" s="29" t="s">
        <v>90</v>
      </c>
    </row>
    <row r="25" customFormat="false" ht="15" hidden="false" customHeight="false" outlineLevel="0" collapsed="false">
      <c r="A25" s="29" t="s">
        <v>91</v>
      </c>
    </row>
    <row r="26" customFormat="false" ht="15" hidden="false" customHeight="false" outlineLevel="0" collapsed="false">
      <c r="A26" s="29" t="s">
        <v>92</v>
      </c>
    </row>
    <row r="27" customFormat="false" ht="15" hidden="false" customHeight="false" outlineLevel="0" collapsed="false">
      <c r="A27" s="29"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4" min="3" style="0" width="14"/>
    <col collapsed="false" customWidth="true" hidden="false" outlineLevel="0" max="6" min="5" style="0" width="16"/>
    <col collapsed="false" customWidth="true" hidden="false" outlineLevel="0" max="8" min="7" style="0" width="12"/>
    <col collapsed="false" customWidth="true" hidden="false" outlineLevel="0" max="9" min="9" style="0" width="16"/>
    <col collapsed="false" customWidth="true" hidden="false" outlineLevel="0" max="10" min="10" style="0" width="70"/>
  </cols>
  <sheetData>
    <row r="1" customFormat="false" ht="17.35" hidden="false" customHeight="false" outlineLevel="0" collapsed="false">
      <c r="A1" s="1" t="s">
        <v>94</v>
      </c>
    </row>
    <row r="2" customFormat="false" ht="15" hidden="false" customHeight="false" outlineLevel="0" collapsed="false">
      <c r="A2" s="2" t="s">
        <v>95</v>
      </c>
    </row>
    <row r="4" customFormat="false" ht="60" hidden="false" customHeight="true" outlineLevel="0" collapsed="false">
      <c r="A4" s="12" t="s">
        <v>96</v>
      </c>
      <c r="B4" s="12" t="s">
        <v>97</v>
      </c>
      <c r="C4" s="12" t="s">
        <v>98</v>
      </c>
      <c r="D4" s="12" t="s">
        <v>99</v>
      </c>
      <c r="E4" s="12" t="s">
        <v>100</v>
      </c>
      <c r="F4" s="12" t="s">
        <v>101</v>
      </c>
      <c r="G4" s="12" t="s">
        <v>102</v>
      </c>
      <c r="H4" s="12" t="s">
        <v>103</v>
      </c>
      <c r="I4" s="12" t="s">
        <v>104</v>
      </c>
      <c r="J4" s="12" t="s">
        <v>105</v>
      </c>
    </row>
    <row r="5" customFormat="false" ht="42" hidden="false" customHeight="true" outlineLevel="0" collapsed="false">
      <c r="A5" s="13" t="n">
        <v>2006</v>
      </c>
      <c r="B5" s="30" t="s">
        <v>106</v>
      </c>
      <c r="C5" s="31" t="n">
        <v>50</v>
      </c>
      <c r="D5" s="31" t="n">
        <v>100</v>
      </c>
      <c r="E5" s="32" t="n">
        <f aca="false">D5-C5</f>
        <v>50</v>
      </c>
      <c r="F5" s="22" t="s">
        <v>72</v>
      </c>
      <c r="G5" s="22" t="s">
        <v>72</v>
      </c>
      <c r="H5" s="22" t="s">
        <v>72</v>
      </c>
      <c r="I5" s="22" t="s">
        <v>72</v>
      </c>
      <c r="J5" s="33" t="s">
        <v>107</v>
      </c>
    </row>
    <row r="6" customFormat="false" ht="42" hidden="false" customHeight="true" outlineLevel="0" collapsed="false">
      <c r="A6" s="13" t="n">
        <v>2011</v>
      </c>
      <c r="B6" s="30" t="s">
        <v>108</v>
      </c>
      <c r="C6" s="16" t="n">
        <v>55</v>
      </c>
      <c r="D6" s="16" t="n">
        <v>110</v>
      </c>
      <c r="E6" s="32" t="n">
        <f aca="false">D6-C6</f>
        <v>55</v>
      </c>
      <c r="F6" s="16" t="n">
        <v>750</v>
      </c>
      <c r="G6" s="21" t="n">
        <f aca="false">C6/C5-1</f>
        <v>0.1</v>
      </c>
      <c r="H6" s="21" t="n">
        <f aca="false">D6/D5-1</f>
        <v>0.1</v>
      </c>
      <c r="I6" s="34" t="n">
        <f aca="false">A6-A5</f>
        <v>5</v>
      </c>
      <c r="J6" s="33" t="s">
        <v>109</v>
      </c>
    </row>
    <row r="7" customFormat="false" ht="42" hidden="false" customHeight="true" outlineLevel="0" collapsed="false">
      <c r="A7" s="13" t="n">
        <v>2017</v>
      </c>
      <c r="B7" s="14" t="n">
        <v>42887</v>
      </c>
      <c r="C7" s="16" t="n">
        <v>60</v>
      </c>
      <c r="D7" s="16" t="n">
        <v>120</v>
      </c>
      <c r="E7" s="32" t="n">
        <f aca="false">D7-C7</f>
        <v>60</v>
      </c>
      <c r="F7" s="16" t="n">
        <v>1000</v>
      </c>
      <c r="G7" s="21" t="n">
        <f aca="false">C7/C6-1</f>
        <v>0.0909090909090908</v>
      </c>
      <c r="H7" s="21" t="n">
        <f aca="false">D7/D6-1</f>
        <v>0.0909090909090908</v>
      </c>
      <c r="I7" s="34" t="n">
        <f aca="false">A7-A6</f>
        <v>6</v>
      </c>
      <c r="J7" s="33" t="s">
        <v>110</v>
      </c>
    </row>
    <row r="8" customFormat="false" ht="42" hidden="false" customHeight="true" outlineLevel="0" collapsed="false">
      <c r="A8" s="13" t="n">
        <v>2024</v>
      </c>
      <c r="B8" s="14" t="n">
        <v>45536</v>
      </c>
      <c r="C8" s="16" t="n">
        <v>65</v>
      </c>
      <c r="D8" s="16" t="n">
        <v>130</v>
      </c>
      <c r="E8" s="32" t="n">
        <f aca="false">D8-C8</f>
        <v>65</v>
      </c>
      <c r="F8" s="16" t="n">
        <v>1250</v>
      </c>
      <c r="G8" s="21" t="n">
        <f aca="false">C8/C7-1</f>
        <v>0.0833333333333333</v>
      </c>
      <c r="H8" s="21" t="n">
        <f aca="false">D8/D7-1</f>
        <v>0.0833333333333333</v>
      </c>
      <c r="I8" s="34" t="n">
        <f aca="false">A8-A7</f>
        <v>7</v>
      </c>
      <c r="J8" s="33" t="s">
        <v>111</v>
      </c>
    </row>
    <row r="10" customFormat="false" ht="15" hidden="false" customHeight="false" outlineLevel="0" collapsed="false">
      <c r="A10" s="5" t="s">
        <v>112</v>
      </c>
      <c r="I10" s="35" t="n">
        <f aca="false">AVERAGE(I6:I8)</f>
        <v>6</v>
      </c>
    </row>
    <row r="12" customFormat="false" ht="15" hidden="false" customHeight="false" outlineLevel="0" collapsed="false">
      <c r="A12" s="2"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5" min="2" style="0" width="14"/>
  </cols>
  <sheetData>
    <row r="1" customFormat="false" ht="17.35" hidden="false" customHeight="false" outlineLevel="0" collapsed="false">
      <c r="A1" s="1" t="s">
        <v>114</v>
      </c>
    </row>
    <row r="2" customFormat="false" ht="42" hidden="false" customHeight="true" outlineLevel="0" collapsed="false">
      <c r="A2" s="36" t="s">
        <v>115</v>
      </c>
      <c r="B2" s="36"/>
      <c r="C2" s="36"/>
      <c r="D2" s="36"/>
      <c r="E2" s="36"/>
      <c r="F2" s="36"/>
      <c r="G2" s="36"/>
      <c r="H2" s="36"/>
      <c r="I2" s="36"/>
      <c r="J2" s="36"/>
      <c r="K2" s="36"/>
      <c r="L2" s="36"/>
      <c r="M2" s="36"/>
      <c r="N2" s="36"/>
      <c r="O2" s="36"/>
    </row>
    <row r="4" customFormat="false" ht="63.75" hidden="false" customHeight="true" outlineLevel="0" collapsed="false">
      <c r="A4" s="12" t="s">
        <v>116</v>
      </c>
      <c r="B4" s="12" t="s">
        <v>97</v>
      </c>
      <c r="C4" s="12" t="s">
        <v>117</v>
      </c>
      <c r="D4" s="12" t="s">
        <v>118</v>
      </c>
      <c r="E4" s="12" t="s">
        <v>119</v>
      </c>
      <c r="F4" s="12" t="s">
        <v>120</v>
      </c>
      <c r="G4" s="12" t="s">
        <v>121</v>
      </c>
      <c r="H4" s="12" t="s">
        <v>122</v>
      </c>
      <c r="I4" s="12" t="s">
        <v>123</v>
      </c>
      <c r="J4" s="12" t="s">
        <v>124</v>
      </c>
      <c r="K4" s="12" t="s">
        <v>125</v>
      </c>
      <c r="L4" s="12" t="s">
        <v>126</v>
      </c>
      <c r="M4" s="12" t="s">
        <v>127</v>
      </c>
      <c r="N4" s="12" t="s">
        <v>128</v>
      </c>
      <c r="O4" s="12" t="s">
        <v>129</v>
      </c>
    </row>
    <row r="5" customFormat="false" ht="31.5" hidden="false" customHeight="true" outlineLevel="0" collapsed="false">
      <c r="A5" s="37" t="s">
        <v>130</v>
      </c>
      <c r="B5" s="14" t="n">
        <v>42887</v>
      </c>
      <c r="C5" s="15" t="n">
        <v>2017</v>
      </c>
      <c r="D5" s="38" t="n">
        <f aca="false">INDEX(Panel_Data!$E$6:$E$17,MATCH(C5-1,Panel_Data!$A$6:$A$17,0))</f>
        <v>55</v>
      </c>
      <c r="E5" s="38" t="n">
        <f aca="false">INDEX(Panel_Data!$E$6:$E$17,MATCH(C5,Panel_Data!$A$6:$A$17,0))</f>
        <v>60</v>
      </c>
      <c r="F5" s="21" t="n">
        <f aca="false">E5/D5-1</f>
        <v>0.0909090909090908</v>
      </c>
      <c r="G5" s="39" t="n">
        <v>2</v>
      </c>
      <c r="H5" s="40" t="n">
        <f aca="false">AVERAGE(INDEX(Panel_Data!$V$6:$V$17,MATCH(C5-2,Panel_Data!$A$6:$A$17,0)):INDEX(Panel_Data!$V$6:$V$17,MATCH(C5-1,Panel_Data!$A$6:$A$17,0)))</f>
        <v>0.0645846679478966</v>
      </c>
      <c r="I5" s="40" t="n">
        <f aca="false">SUM(INDEX(Panel_Data!$V$6:$V$17,MATCH(C5,Panel_Data!$A$6:$A$17,0)):INDEX(Panel_Data!$V$6:$V$17,MATCH(C5+G5-1,Panel_Data!$A$6:$A$17,0)))</f>
        <v>0.0823495390058859</v>
      </c>
      <c r="J5" s="21" t="n">
        <f aca="false">H5*G5</f>
        <v>0.129169335895793</v>
      </c>
      <c r="K5" s="21" t="n">
        <f aca="false">I5-J5</f>
        <v>-0.0468197968899073</v>
      </c>
      <c r="L5" s="41" t="n">
        <f aca="false">IF(F5=0,0,K5/F5)</f>
        <v>-0.515017765788981</v>
      </c>
      <c r="M5" s="40" t="n">
        <f aca="false">INDEX(Panel_Data!$O$6:$O$17,MATCH(C5-1,Panel_Data!$A$6:$A$17,0))</f>
        <v>0.9</v>
      </c>
      <c r="N5" s="40" t="n">
        <f aca="false">INDEX(Panel_Data!$O$6:$O$17,MATCH(C5+G5-1,Panel_Data!$A$6:$A$17,0))</f>
        <v>0.9</v>
      </c>
      <c r="O5" s="21" t="n">
        <f aca="false">N5-M5</f>
        <v>0</v>
      </c>
    </row>
    <row r="6" customFormat="false" ht="31.5" hidden="false" customHeight="true" outlineLevel="0" collapsed="false">
      <c r="A6" s="37" t="s">
        <v>131</v>
      </c>
      <c r="B6" s="14" t="n">
        <v>45536</v>
      </c>
      <c r="C6" s="15" t="n">
        <v>2025</v>
      </c>
      <c r="D6" s="38" t="n">
        <f aca="false">INDEX(Panel_Data!$E$6:$E$17,MATCH(C6-1,Panel_Data!$A$6:$A$17,0))</f>
        <v>60</v>
      </c>
      <c r="E6" s="38" t="n">
        <f aca="false">INDEX(Panel_Data!$E$6:$E$17,MATCH(C6,Panel_Data!$A$6:$A$17,0))</f>
        <v>65</v>
      </c>
      <c r="F6" s="21" t="n">
        <f aca="false">E6/D6-1</f>
        <v>0.0833333333333333</v>
      </c>
      <c r="G6" s="39" t="n">
        <v>1</v>
      </c>
      <c r="H6" s="40" t="n">
        <f aca="false">AVERAGE(INDEX(Panel_Data!$V$6:$V$17,MATCH(C6-2,Panel_Data!$A$6:$A$17,0)):INDEX(Panel_Data!$V$6:$V$17,MATCH(C6-1,Panel_Data!$A$6:$A$17,0)))</f>
        <v>0.0761333961214092</v>
      </c>
      <c r="I6" s="40" t="n">
        <f aca="false">SUM(INDEX(Panel_Data!$V$6:$V$17,MATCH(C6,Panel_Data!$A$6:$A$17,0)):INDEX(Panel_Data!$V$6:$V$17,MATCH(C6+G6-1,Panel_Data!$A$6:$A$17,0)))</f>
        <v>0.0629921259842521</v>
      </c>
      <c r="J6" s="21" t="n">
        <f aca="false">H6*G6</f>
        <v>0.0761333961214092</v>
      </c>
      <c r="K6" s="21" t="n">
        <f aca="false">I6-J6</f>
        <v>-0.0131412701371572</v>
      </c>
      <c r="L6" s="41" t="n">
        <f aca="false">IF(F6=0,0,K6/F6)</f>
        <v>-0.157695241645886</v>
      </c>
      <c r="M6" s="40" t="n">
        <f aca="false">INDEX(Panel_Data!$O$6:$O$17,MATCH(C6-1,Panel_Data!$A$6:$A$17,0))</f>
        <v>0.929</v>
      </c>
      <c r="N6" s="40" t="n">
        <f aca="false">INDEX(Panel_Data!$O$6:$O$17,MATCH(C6+G6-1,Panel_Data!$A$6:$A$17,0))</f>
        <v>0.923</v>
      </c>
      <c r="O6" s="21" t="n">
        <f aca="false">N6-M6</f>
        <v>-0.00600000000000001</v>
      </c>
    </row>
    <row r="8" customFormat="false" ht="15" hidden="false" customHeight="false" outlineLevel="0" collapsed="false">
      <c r="A8" s="42" t="s">
        <v>132</v>
      </c>
      <c r="L8" s="41" t="n">
        <f aca="false">AVERAGE(L5:L6)</f>
        <v>-0.336356503717434</v>
      </c>
    </row>
    <row r="10" customFormat="false" ht="31.5" hidden="false" customHeight="true" outlineLevel="0" collapsed="false">
      <c r="A10" s="36" t="s">
        <v>133</v>
      </c>
      <c r="B10" s="36"/>
      <c r="C10" s="36"/>
      <c r="D10" s="36"/>
      <c r="E10" s="36"/>
      <c r="F10" s="36"/>
      <c r="G10" s="36"/>
      <c r="H10" s="36"/>
      <c r="I10" s="36"/>
      <c r="J10" s="36"/>
      <c r="K10" s="36"/>
      <c r="L10" s="36"/>
      <c r="M10" s="36"/>
      <c r="N10" s="36"/>
      <c r="O10" s="36"/>
    </row>
  </sheetData>
  <mergeCells count="2">
    <mergeCell ref="A2:O2"/>
    <mergeCell ref="A10:O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6"/>
  </cols>
  <sheetData>
    <row r="1" customFormat="false" ht="17.35" hidden="false" customHeight="false" outlineLevel="0" collapsed="false">
      <c r="A1" s="1" t="s">
        <v>134</v>
      </c>
    </row>
    <row r="2" customFormat="false" ht="42" hidden="false" customHeight="true" outlineLevel="0" collapsed="false">
      <c r="A2" s="36" t="s">
        <v>135</v>
      </c>
      <c r="B2" s="36"/>
      <c r="C2" s="36"/>
      <c r="D2" s="36"/>
      <c r="E2" s="36"/>
      <c r="F2" s="36"/>
      <c r="G2" s="36"/>
    </row>
    <row r="4" customFormat="false" ht="15" hidden="false" customHeight="false" outlineLevel="0" collapsed="false">
      <c r="A4" s="43" t="s">
        <v>136</v>
      </c>
      <c r="B4" s="43"/>
      <c r="C4" s="43"/>
      <c r="D4" s="43"/>
      <c r="E4" s="43"/>
      <c r="F4" s="43"/>
      <c r="G4" s="43"/>
    </row>
    <row r="5" customFormat="false" ht="30" hidden="false" customHeight="true" outlineLevel="0" collapsed="false">
      <c r="A5" s="12" t="s">
        <v>137</v>
      </c>
      <c r="B5" s="12" t="s">
        <v>138</v>
      </c>
      <c r="C5" s="12" t="s">
        <v>139</v>
      </c>
      <c r="D5" s="12" t="s">
        <v>140</v>
      </c>
      <c r="E5" s="12" t="s">
        <v>141</v>
      </c>
    </row>
    <row r="6" customFormat="false" ht="15" hidden="false" customHeight="false" outlineLevel="0" collapsed="false">
      <c r="A6" s="42" t="s">
        <v>142</v>
      </c>
      <c r="B6" s="44" t="n">
        <f aca="false">INDEX(LINEST(Panel_Data!$W$7:$W$17,Panel_Data!$Y$7:$Z$17,TRUE(),TRUE()),1,3)</f>
        <v>0.0508496270705284</v>
      </c>
      <c r="C6" s="45" t="n">
        <f aca="false">INDEX(LINEST(Panel_Data!$W$7:$W$17,Panel_Data!$Y$7:$Z$17,TRUE(),TRUE()),2,3)</f>
        <v>0.0177966530739739</v>
      </c>
      <c r="D6" s="46" t="n">
        <f aca="false">IF(C6=0,0,B6/C6)</f>
        <v>2.85725787085728</v>
      </c>
      <c r="E6" s="47" t="n">
        <f aca="false">TDIST(ABS(D6),$B$11,2)</f>
        <v>0.021240736895246</v>
      </c>
    </row>
    <row r="7" customFormat="false" ht="15" hidden="false" customHeight="false" outlineLevel="0" collapsed="false">
      <c r="A7" s="42" t="s">
        <v>143</v>
      </c>
      <c r="B7" s="44" t="n">
        <f aca="false">INDEX(LINEST(Panel_Data!$W$7:$W$17,Panel_Data!$Y$7:$Z$17,TRUE(),TRUE()),1,2)</f>
        <v>-0.141810823085076</v>
      </c>
      <c r="C7" s="45" t="n">
        <f aca="false">INDEX(LINEST(Panel_Data!$W$7:$W$17,Panel_Data!$Y$7:$Z$17,TRUE(),TRUE()),2,2)</f>
        <v>0.117828474821398</v>
      </c>
      <c r="D7" s="46" t="n">
        <f aca="false">IF(C7=0,0,B7/C7)</f>
        <v>-1.20353610025106</v>
      </c>
      <c r="E7" s="47" t="n">
        <f aca="false">TDIST(ABS(D7),$B$11,2)</f>
        <v>0.263171180331701</v>
      </c>
    </row>
    <row r="8" customFormat="false" ht="15" hidden="false" customHeight="false" outlineLevel="0" collapsed="false">
      <c r="A8" s="42" t="s">
        <v>144</v>
      </c>
      <c r="B8" s="44" t="n">
        <f aca="false">INDEX(LINEST(Panel_Data!$W$7:$W$17,Panel_Data!$Y$7:$Z$17,TRUE(),TRUE()),1,1)</f>
        <v>0.306782948108913</v>
      </c>
      <c r="C8" s="45" t="n">
        <f aca="false">INDEX(LINEST(Panel_Data!$W$7:$W$17,Panel_Data!$Y$7:$Z$17,TRUE(),TRUE()),2,1)</f>
        <v>0.602905927567016</v>
      </c>
      <c r="D8" s="46" t="n">
        <f aca="false">IF(C8=0,0,B8/C8)</f>
        <v>0.508840490832315</v>
      </c>
      <c r="E8" s="47" t="n">
        <f aca="false">TDIST(ABS(D8),$B$11,2)</f>
        <v>0.62459740611922</v>
      </c>
    </row>
    <row r="9" customFormat="false" ht="15" hidden="false" customHeight="false" outlineLevel="0" collapsed="false">
      <c r="A9" s="42" t="s">
        <v>145</v>
      </c>
      <c r="B9" s="48" t="n">
        <f aca="false">COUNT(Panel_Data!$W$7:$W$17)</f>
        <v>11</v>
      </c>
    </row>
    <row r="10" customFormat="false" ht="15" hidden="false" customHeight="false" outlineLevel="0" collapsed="false">
      <c r="A10" s="42" t="s">
        <v>146</v>
      </c>
      <c r="B10" s="49" t="n">
        <f aca="false">INDEX(LINEST(Panel_Data!$W$7:$W$17,Panel_Data!$Y$7:$Z$17,TRUE(),TRUE()),3,1)</f>
        <v>0.162282074839215</v>
      </c>
    </row>
    <row r="11" customFormat="false" ht="15" hidden="false" customHeight="false" outlineLevel="0" collapsed="false">
      <c r="A11" s="42" t="s">
        <v>147</v>
      </c>
      <c r="B11" s="48" t="n">
        <f aca="false">INDEX(LINEST(Panel_Data!$W$7:$W$17,Panel_Data!$Y$7:$Z$17,TRUE(),TRUE()),4,2)</f>
        <v>8</v>
      </c>
    </row>
    <row r="14" customFormat="false" ht="15" hidden="false" customHeight="false" outlineLevel="0" collapsed="false">
      <c r="A14" s="43" t="s">
        <v>148</v>
      </c>
      <c r="B14" s="43"/>
      <c r="C14" s="43"/>
      <c r="D14" s="43"/>
      <c r="E14" s="43"/>
      <c r="F14" s="43"/>
      <c r="G14" s="43"/>
    </row>
    <row r="15" customFormat="false" ht="30" hidden="false" customHeight="true" outlineLevel="0" collapsed="false">
      <c r="A15" s="12" t="s">
        <v>137</v>
      </c>
      <c r="B15" s="12" t="s">
        <v>138</v>
      </c>
      <c r="C15" s="12" t="s">
        <v>139</v>
      </c>
      <c r="D15" s="12" t="s">
        <v>140</v>
      </c>
      <c r="E15" s="12" t="s">
        <v>141</v>
      </c>
    </row>
    <row r="16" customFormat="false" ht="15" hidden="false" customHeight="false" outlineLevel="0" collapsed="false">
      <c r="A16" s="42" t="s">
        <v>142</v>
      </c>
      <c r="B16" s="44" t="n">
        <f aca="false">INDEX(LINEST(Panel_Data!$W$8:$W$17,Panel_Data!$X$8:$Z$17,TRUE(),TRUE()),1,4)</f>
        <v>0.0528630655735058</v>
      </c>
      <c r="C16" s="45" t="n">
        <f aca="false">INDEX(LINEST(Panel_Data!$W$8:$W$17,Panel_Data!$X$8:$Z$17,TRUE(),TRUE()),2,4)</f>
        <v>0.0183595036596525</v>
      </c>
      <c r="D16" s="46" t="n">
        <f aca="false">IF(C16=0,0,B16/C16)</f>
        <v>2.87932977674552</v>
      </c>
      <c r="E16" s="47" t="n">
        <f aca="false">TDIST(ABS(D16),$B$22,2)</f>
        <v>0.0280823299217926</v>
      </c>
    </row>
    <row r="17" customFormat="false" ht="15" hidden="false" customHeight="false" outlineLevel="0" collapsed="false">
      <c r="A17" s="42" t="s">
        <v>149</v>
      </c>
      <c r="B17" s="44" t="n">
        <f aca="false">INDEX(LINEST(Panel_Data!$W$8:$W$17,Panel_Data!$X$8:$Z$17,TRUE(),TRUE()),1,2)</f>
        <v>-0.171594184892219</v>
      </c>
      <c r="C17" s="45" t="n">
        <f aca="false">INDEX(LINEST(Panel_Data!$W$8:$W$17,Panel_Data!$X$8:$Z$17,TRUE(),TRUE()),2,2)</f>
        <v>0.122764487028834</v>
      </c>
      <c r="D17" s="46" t="n">
        <f aca="false">IF(C17=0,0,B17/C17)</f>
        <v>-1.39775100312125</v>
      </c>
      <c r="E17" s="47" t="n">
        <f aca="false">TDIST(ABS(D17),$B$22,2)</f>
        <v>0.211682394598994</v>
      </c>
    </row>
    <row r="18" customFormat="false" ht="15" hidden="false" customHeight="false" outlineLevel="0" collapsed="false">
      <c r="A18" s="42" t="s">
        <v>150</v>
      </c>
      <c r="B18" s="44" t="n">
        <f aca="false">INDEX(LINEST(Panel_Data!$W$8:$W$17,Panel_Data!$X$8:$Z$17,TRUE(),TRUE()),1,3)</f>
        <v>-0.210222412343049</v>
      </c>
      <c r="C18" s="45" t="n">
        <f aca="false">INDEX(LINEST(Panel_Data!$W$8:$W$17,Panel_Data!$X$8:$Z$17,TRUE(),TRUE()),2,3)</f>
        <v>0.154003738970417</v>
      </c>
      <c r="D18" s="46" t="n">
        <f aca="false">IF(C18=0,0,B18/C18)</f>
        <v>-1.36504745760382</v>
      </c>
      <c r="E18" s="47" t="n">
        <f aca="false">TDIST(ABS(D18),$B$22,2)</f>
        <v>0.221205660456755</v>
      </c>
    </row>
    <row r="19" customFormat="false" ht="15" hidden="false" customHeight="false" outlineLevel="0" collapsed="false">
      <c r="A19" s="42" t="s">
        <v>144</v>
      </c>
      <c r="B19" s="44" t="n">
        <f aca="false">INDEX(LINEST(Panel_Data!$W$8:$W$17,Panel_Data!$X$8:$Z$17,TRUE(),TRUE()),1,1)</f>
        <v>0.322047760314516</v>
      </c>
      <c r="C19" s="45" t="n">
        <f aca="false">INDEX(LINEST(Panel_Data!$W$8:$W$17,Panel_Data!$X$8:$Z$17,TRUE(),TRUE()),2,1)</f>
        <v>0.632495007605408</v>
      </c>
      <c r="D19" s="46" t="n">
        <f aca="false">IF(C19=0,0,B19/C19)</f>
        <v>0.509170438409895</v>
      </c>
      <c r="E19" s="47" t="n">
        <f aca="false">TDIST(ABS(D19),$B$22,2)</f>
        <v>0.628810622737621</v>
      </c>
    </row>
    <row r="20" customFormat="false" ht="15" hidden="false" customHeight="false" outlineLevel="0" collapsed="false">
      <c r="A20" s="42" t="s">
        <v>145</v>
      </c>
      <c r="B20" s="48" t="n">
        <f aca="false">COUNT(Panel_Data!$W$8:$W$17)</f>
        <v>10</v>
      </c>
    </row>
    <row r="21" customFormat="false" ht="15" hidden="false" customHeight="false" outlineLevel="0" collapsed="false">
      <c r="A21" s="42" t="s">
        <v>146</v>
      </c>
      <c r="B21" s="49" t="n">
        <f aca="false">INDEX(LINEST(Panel_Data!$W$8:$W$17,Panel_Data!$X$8:$Z$17,TRUE(),TRUE()),3,1)</f>
        <v>0.358991003770904</v>
      </c>
    </row>
    <row r="22" customFormat="false" ht="15" hidden="false" customHeight="false" outlineLevel="0" collapsed="false">
      <c r="A22" s="42" t="s">
        <v>147</v>
      </c>
      <c r="B22" s="48" t="n">
        <f aca="false">INDEX(LINEST(Panel_Data!$W$8:$W$17,Panel_Data!$X$8:$Z$17,TRUE(),TRUE()),4,2)</f>
        <v>6</v>
      </c>
    </row>
    <row r="23" customFormat="false" ht="15" hidden="false" customHeight="false" outlineLevel="0" collapsed="false">
      <c r="A23" s="42" t="s">
        <v>151</v>
      </c>
      <c r="B23" s="50" t="n">
        <f aca="false">B17+B18</f>
        <v>-0.381816597235268</v>
      </c>
    </row>
    <row r="25" customFormat="false" ht="57.75" hidden="false" customHeight="true" outlineLevel="0" collapsed="false">
      <c r="A25" s="36" t="s">
        <v>152</v>
      </c>
      <c r="B25" s="36"/>
      <c r="C25" s="36"/>
      <c r="D25" s="36"/>
      <c r="E25" s="36"/>
      <c r="F25" s="36"/>
      <c r="G25" s="36"/>
    </row>
  </sheetData>
  <mergeCells count="4">
    <mergeCell ref="A2:G2"/>
    <mergeCell ref="A4:G4"/>
    <mergeCell ref="A14:G1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24"/>
    <col collapsed="false" customWidth="true" hidden="false" outlineLevel="0" max="10" min="4" style="0" width="16"/>
  </cols>
  <sheetData>
    <row r="1" customFormat="false" ht="17.35" hidden="false" customHeight="false" outlineLevel="0" collapsed="false">
      <c r="A1" s="1" t="s">
        <v>153</v>
      </c>
    </row>
    <row r="2" customFormat="false" ht="43.5" hidden="false" customHeight="true" outlineLevel="0" collapsed="false">
      <c r="A2" s="36" t="s">
        <v>154</v>
      </c>
      <c r="B2" s="36"/>
      <c r="C2" s="36"/>
      <c r="D2" s="36"/>
      <c r="E2" s="36"/>
      <c r="F2" s="36"/>
      <c r="G2" s="36"/>
      <c r="H2" s="36"/>
      <c r="I2" s="36"/>
      <c r="J2" s="36"/>
    </row>
    <row r="4" customFormat="false" ht="15" hidden="false" customHeight="false" outlineLevel="0" collapsed="false">
      <c r="A4" s="43" t="s">
        <v>155</v>
      </c>
      <c r="B4" s="43"/>
      <c r="C4" s="43"/>
    </row>
    <row r="5" customFormat="false" ht="27.75" hidden="false" customHeight="true" outlineLevel="0" collapsed="false">
      <c r="A5" s="37" t="s">
        <v>156</v>
      </c>
      <c r="B5" s="38" t="n">
        <f aca="false">Panel_Data!E17</f>
        <v>65</v>
      </c>
      <c r="C5" s="51" t="s">
        <v>157</v>
      </c>
    </row>
    <row r="6" customFormat="false" ht="27.75" hidden="false" customHeight="true" outlineLevel="0" collapsed="false">
      <c r="A6" s="37" t="s">
        <v>158</v>
      </c>
      <c r="B6" s="16" t="n">
        <v>65</v>
      </c>
      <c r="C6" s="51" t="s">
        <v>159</v>
      </c>
    </row>
    <row r="7" customFormat="false" ht="27.75" hidden="false" customHeight="true" outlineLevel="0" collapsed="false">
      <c r="A7" s="37" t="s">
        <v>160</v>
      </c>
      <c r="B7" s="40" t="n">
        <f aca="false">Panel_Data!L17</f>
        <v>0.477777777777778</v>
      </c>
      <c r="C7" s="51" t="s">
        <v>161</v>
      </c>
    </row>
    <row r="8" customFormat="false" ht="27.75" hidden="false" customHeight="true" outlineLevel="0" collapsed="false">
      <c r="A8" s="37" t="s">
        <v>162</v>
      </c>
      <c r="B8" s="24" t="n">
        <f aca="false">B7*B6</f>
        <v>31.0555555555556</v>
      </c>
      <c r="C8" s="51" t="s">
        <v>163</v>
      </c>
    </row>
    <row r="9" customFormat="false" ht="27.75" hidden="false" customHeight="true" outlineLevel="0" collapsed="false">
      <c r="A9" s="37" t="s">
        <v>164</v>
      </c>
      <c r="B9" s="52" t="n">
        <f aca="false">Panel_Data!G17</f>
        <v>81000</v>
      </c>
      <c r="C9" s="51" t="s">
        <v>165</v>
      </c>
    </row>
    <row r="10" customFormat="false" ht="27.75" hidden="false" customHeight="true" outlineLevel="0" collapsed="false">
      <c r="A10" s="37" t="s">
        <v>166</v>
      </c>
      <c r="B10" s="38" t="n">
        <f aca="false">Panel_Data!Q17</f>
        <v>5323</v>
      </c>
      <c r="C10" s="51" t="s">
        <v>167</v>
      </c>
    </row>
    <row r="11" customFormat="false" ht="27.75" hidden="false" customHeight="true" outlineLevel="0" collapsed="false">
      <c r="A11" s="37" t="s">
        <v>168</v>
      </c>
      <c r="B11" s="17" t="n">
        <v>52000</v>
      </c>
      <c r="C11" s="51" t="s">
        <v>169</v>
      </c>
    </row>
    <row r="12" customFormat="false" ht="27.75" hidden="false" customHeight="true" outlineLevel="0" collapsed="false">
      <c r="A12" s="37" t="s">
        <v>170</v>
      </c>
      <c r="B12" s="52" t="n">
        <f aca="false">Panel_Data!G16</f>
        <v>76200</v>
      </c>
      <c r="C12" s="51" t="s">
        <v>171</v>
      </c>
    </row>
    <row r="13" customFormat="false" ht="27.75" hidden="false" customHeight="true" outlineLevel="0" collapsed="false">
      <c r="A13" s="37" t="s">
        <v>172</v>
      </c>
      <c r="B13" s="21" t="n">
        <f aca="false">B11/B12</f>
        <v>0.68241469816273</v>
      </c>
      <c r="C13" s="51" t="s">
        <v>173</v>
      </c>
    </row>
    <row r="14" customFormat="false" ht="27.75" hidden="false" customHeight="true" outlineLevel="0" collapsed="false">
      <c r="A14" s="37" t="s">
        <v>174</v>
      </c>
      <c r="B14" s="53" t="n">
        <f aca="false">Event_Study!L8</f>
        <v>-0.336356503717434</v>
      </c>
      <c r="C14" s="51" t="s">
        <v>175</v>
      </c>
    </row>
    <row r="15" customFormat="false" ht="27.75" hidden="false" customHeight="true" outlineLevel="0" collapsed="false">
      <c r="A15" s="37" t="s">
        <v>176</v>
      </c>
      <c r="B15" s="54"/>
      <c r="C15" s="51" t="s">
        <v>177</v>
      </c>
    </row>
    <row r="16" customFormat="false" ht="27.75" hidden="false" customHeight="true" outlineLevel="0" collapsed="false">
      <c r="A16" s="37" t="s">
        <v>178</v>
      </c>
      <c r="B16" s="41" t="n">
        <f aca="false">IF(ISNUMBER(B15),B15,B14)</f>
        <v>-0.336356503717434</v>
      </c>
      <c r="C16" s="51" t="s">
        <v>179</v>
      </c>
    </row>
    <row r="17" customFormat="false" ht="27.75" hidden="false" customHeight="true" outlineLevel="0" collapsed="false">
      <c r="A17" s="37" t="s">
        <v>180</v>
      </c>
      <c r="B17" s="55" t="n">
        <v>2</v>
      </c>
      <c r="C17" s="51" t="s">
        <v>181</v>
      </c>
    </row>
    <row r="18" customFormat="false" ht="27.75" hidden="false" customHeight="true" outlineLevel="0" collapsed="false">
      <c r="A18" s="37" t="s">
        <v>182</v>
      </c>
      <c r="B18" s="16" t="n">
        <v>55</v>
      </c>
      <c r="C18" s="51" t="s">
        <v>183</v>
      </c>
    </row>
    <row r="19" customFormat="false" ht="27.75" hidden="false" customHeight="true" outlineLevel="0" collapsed="false">
      <c r="A19" s="37" t="s">
        <v>184</v>
      </c>
      <c r="B19" s="16" t="n">
        <v>5</v>
      </c>
      <c r="C19" s="51" t="s">
        <v>185</v>
      </c>
    </row>
    <row r="21" customFormat="false" ht="15" hidden="false" customHeight="false" outlineLevel="0" collapsed="false">
      <c r="A21" s="43" t="s">
        <v>186</v>
      </c>
      <c r="B21" s="43"/>
      <c r="C21" s="43"/>
    </row>
    <row r="22" customFormat="false" ht="15" hidden="false" customHeight="false" outlineLevel="0" collapsed="false">
      <c r="A22" s="37" t="s">
        <v>187</v>
      </c>
      <c r="B22" s="56" t="n">
        <f aca="false">B16*B9/B5</f>
        <v>-419.15195078634</v>
      </c>
    </row>
    <row r="23" customFormat="false" ht="15" hidden="false" customHeight="false" outlineLevel="0" collapsed="false">
      <c r="A23" s="42" t="s">
        <v>188</v>
      </c>
      <c r="B23" s="18" t="n">
        <f aca="false">B9-B22*B5</f>
        <v>108244.876801112</v>
      </c>
    </row>
    <row r="24" customFormat="false" ht="15" hidden="false" customHeight="false" outlineLevel="0" collapsed="false">
      <c r="A24" s="42" t="s">
        <v>189</v>
      </c>
      <c r="B24" s="24" t="n">
        <f aca="false">IF(B22&gt;=0,"n/a (demand not downward-sloping)",-(B23+B22*B8)/(2*B22))</f>
        <v>113.595892764661</v>
      </c>
      <c r="C24" s="57" t="s">
        <v>190</v>
      </c>
    </row>
    <row r="28" customFormat="false" ht="15" hidden="false" customHeight="false" outlineLevel="0" collapsed="false">
      <c r="A28" s="43" t="s">
        <v>191</v>
      </c>
      <c r="B28" s="43"/>
      <c r="C28" s="43"/>
      <c r="D28" s="43"/>
      <c r="E28" s="43"/>
      <c r="F28" s="43"/>
      <c r="G28" s="43"/>
      <c r="H28" s="43"/>
      <c r="I28" s="43"/>
      <c r="J28" s="43"/>
    </row>
    <row r="29" customFormat="false" ht="63.75" hidden="false" customHeight="true" outlineLevel="0" collapsed="false">
      <c r="A29" s="12" t="s">
        <v>192</v>
      </c>
      <c r="B29" s="12" t="s">
        <v>193</v>
      </c>
      <c r="C29" s="12" t="s">
        <v>194</v>
      </c>
      <c r="D29" s="12" t="s">
        <v>195</v>
      </c>
      <c r="E29" s="12" t="s">
        <v>196</v>
      </c>
      <c r="F29" s="12" t="s">
        <v>197</v>
      </c>
      <c r="G29" s="12" t="s">
        <v>198</v>
      </c>
      <c r="H29" s="12" t="s">
        <v>199</v>
      </c>
      <c r="I29" s="12" t="s">
        <v>200</v>
      </c>
      <c r="J29" s="12" t="s">
        <v>201</v>
      </c>
    </row>
    <row r="30" customFormat="false" ht="15" hidden="false" customHeight="false" outlineLevel="0" collapsed="false">
      <c r="A30" s="32" t="n">
        <f aca="false">B18</f>
        <v>55</v>
      </c>
      <c r="B30" s="32" t="n">
        <f aca="false">A30+$B$6</f>
        <v>120</v>
      </c>
      <c r="C30" s="18" t="n">
        <f aca="false">$B$9*(A30/$B$5)^$B$16</f>
        <v>85681.6670390239</v>
      </c>
      <c r="D30" s="32" t="n">
        <f aca="false">$B$10*((1-$B$13)+$B$13*(C30/$B$9)*(A30+$B$8)/($B$5+$B$8))</f>
        <v>5132.92890334066</v>
      </c>
      <c r="E30" s="18" t="n">
        <f aca="false">MAX(0,$B$9+$B$22*(A30-$B$5))</f>
        <v>85191.5195078634</v>
      </c>
      <c r="F30" s="32" t="n">
        <f aca="false">$B$10*((1-$B$13)+$B$13*(E30/$B$9)*(A30+$B$8)/($B$5+$B$8))</f>
        <v>5113.23630315807</v>
      </c>
      <c r="G30" s="18" t="n">
        <f aca="false">$B$9*EXP($B$16/$B$17*((A30/$B$5)^$B$17-1))</f>
        <v>84962.9907514357</v>
      </c>
      <c r="H30" s="32" t="n">
        <f aca="false">$B$10*((1-$B$13)+$B$13*(G30/$B$9)*(A30+$B$8)/($B$5+$B$8))</f>
        <v>5104.05472996949</v>
      </c>
      <c r="I30" s="21" t="n">
        <f aca="false">F30/$B$10-1</f>
        <v>-0.0394070443062045</v>
      </c>
      <c r="J30" s="21" t="n">
        <f aca="false">H30/$B$10-1</f>
        <v>-0.0411319312475129</v>
      </c>
    </row>
    <row r="31" customFormat="false" ht="15" hidden="false" customHeight="false" outlineLevel="0" collapsed="false">
      <c r="A31" s="32" t="n">
        <f aca="false">A30+$B$19</f>
        <v>60</v>
      </c>
      <c r="B31" s="32" t="n">
        <f aca="false">A31+$B$6</f>
        <v>125</v>
      </c>
      <c r="C31" s="18" t="n">
        <f aca="false">$B$9*(A31/$B$5)^$B$16</f>
        <v>83210.3750334116</v>
      </c>
      <c r="D31" s="32" t="n">
        <f aca="false">$B$10*((1-$B$13)+$B$13*(C31/$B$9)*(A31+$B$8)/($B$5+$B$8))</f>
        <v>5227.88284144975</v>
      </c>
      <c r="E31" s="18" t="n">
        <f aca="false">MAX(0,$B$9+$B$22*(A31-$B$5))</f>
        <v>83095.7597539317</v>
      </c>
      <c r="F31" s="32" t="n">
        <f aca="false">$B$10*((1-$B$13)+$B$13*(E31/$B$9)*(A31+$B$8)/($B$5+$B$8))</f>
        <v>5223.01040371865</v>
      </c>
      <c r="G31" s="18" t="n">
        <f aca="false">$B$9*EXP($B$16/$B$17*((A31/$B$5)^$B$17-1))</f>
        <v>83040.4297230583</v>
      </c>
      <c r="H31" s="32" t="n">
        <f aca="false">$B$10*((1-$B$13)+$B$13*(G31/$B$9)*(A31+$B$8)/($B$5+$B$8))</f>
        <v>5220.65825545959</v>
      </c>
      <c r="I31" s="21" t="n">
        <f aca="false">F31/$B$10-1</f>
        <v>-0.0187844441633194</v>
      </c>
      <c r="J31" s="21" t="n">
        <f aca="false">H31/$B$10-1</f>
        <v>-0.0192263281120438</v>
      </c>
    </row>
    <row r="32" customFormat="false" ht="15" hidden="false" customHeight="false" outlineLevel="0" collapsed="false">
      <c r="A32" s="32" t="n">
        <f aca="false">A31+$B$19</f>
        <v>65</v>
      </c>
      <c r="B32" s="32" t="n">
        <f aca="false">A32+$B$6</f>
        <v>130</v>
      </c>
      <c r="C32" s="18" t="n">
        <f aca="false">$B$9*(A32/$B$5)^$B$16</f>
        <v>81000</v>
      </c>
      <c r="D32" s="32" t="n">
        <f aca="false">$B$10*((1-$B$13)+$B$13*(C32/$B$9)*(A32+$B$8)/($B$5+$B$8))</f>
        <v>5323</v>
      </c>
      <c r="E32" s="18" t="n">
        <f aca="false">MAX(0,$B$9+$B$22*(A32-$B$5))</f>
        <v>81000</v>
      </c>
      <c r="F32" s="32" t="n">
        <f aca="false">$B$10*((1-$B$13)+$B$13*(E32/$B$9)*(A32+$B$8)/($B$5+$B$8))</f>
        <v>5323</v>
      </c>
      <c r="G32" s="18" t="n">
        <f aca="false">$B$9*EXP($B$16/$B$17*((A32/$B$5)^$B$17-1))</f>
        <v>81000</v>
      </c>
      <c r="H32" s="32" t="n">
        <f aca="false">$B$10*((1-$B$13)+$B$13*(G32/$B$9)*(A32+$B$8)/($B$5+$B$8))</f>
        <v>5323</v>
      </c>
      <c r="I32" s="21" t="n">
        <f aca="false">F32/$B$10-1</f>
        <v>0</v>
      </c>
      <c r="J32" s="21" t="n">
        <f aca="false">H32/$B$10-1</f>
        <v>0</v>
      </c>
    </row>
    <row r="33" customFormat="false" ht="15" hidden="false" customHeight="false" outlineLevel="0" collapsed="false">
      <c r="A33" s="32" t="n">
        <f aca="false">A32+$B$19</f>
        <v>70</v>
      </c>
      <c r="B33" s="32" t="n">
        <f aca="false">A33+$B$6</f>
        <v>135</v>
      </c>
      <c r="C33" s="18" t="n">
        <f aca="false">$B$9*(A33/$B$5)^$B$16</f>
        <v>79005.8939195936</v>
      </c>
      <c r="D33" s="32" t="n">
        <f aca="false">$B$10*((1-$B$13)+$B$13*(C33/$B$9)*(A33+$B$8)/($B$5+$B$8))</f>
        <v>5418.00110777839</v>
      </c>
      <c r="E33" s="18" t="n">
        <f aca="false">MAX(0,$B$9+$B$22*(A33-$B$5))</f>
        <v>78904.2402460683</v>
      </c>
      <c r="F33" s="32" t="n">
        <f aca="false">$B$10*((1-$B$13)+$B$13*(E33/$B$9)*(A33+$B$8)/($B$5+$B$8))</f>
        <v>5413.20509200212</v>
      </c>
      <c r="G33" s="18" t="n">
        <f aca="false">$B$9*EXP($B$16/$B$17*((A33/$B$5)^$B$17-1))</f>
        <v>78852.6120653758</v>
      </c>
      <c r="H33" s="32" t="n">
        <f aca="false">$B$10*((1-$B$13)+$B$13*(G33/$B$9)*(A33+$B$8)/($B$5+$B$8))</f>
        <v>5410.76927674318</v>
      </c>
      <c r="I33" s="21" t="n">
        <f aca="false">F33/$B$10-1</f>
        <v>0.0169462881837541</v>
      </c>
      <c r="J33" s="21" t="n">
        <f aca="false">H33/$B$10-1</f>
        <v>0.0164886862188944</v>
      </c>
    </row>
    <row r="34" customFormat="false" ht="15" hidden="false" customHeight="false" outlineLevel="0" collapsed="false">
      <c r="A34" s="32" t="n">
        <f aca="false">A33+$B$19</f>
        <v>75</v>
      </c>
      <c r="B34" s="32" t="n">
        <f aca="false">A34+$B$6</f>
        <v>140</v>
      </c>
      <c r="C34" s="18" t="n">
        <f aca="false">$B$9*(A34/$B$5)^$B$16</f>
        <v>77193.5770879119</v>
      </c>
      <c r="D34" s="32" t="n">
        <f aca="false">$B$10*((1-$B$13)+$B$13*(C34/$B$9)*(A34+$B$8)/($B$5+$B$8))</f>
        <v>5512.69347297263</v>
      </c>
      <c r="E34" s="18" t="n">
        <f aca="false">MAX(0,$B$9+$B$22*(A34-$B$5))</f>
        <v>76808.4804921366</v>
      </c>
      <c r="F34" s="32" t="n">
        <f aca="false">$B$10*((1-$B$13)+$B$13*(E34/$B$9)*(A34+$B$8)/($B$5+$B$8))</f>
        <v>5493.62567972502</v>
      </c>
      <c r="G34" s="18" t="n">
        <f aca="false">$B$9*EXP($B$16/$B$17*((A34/$B$5)^$B$17-1))</f>
        <v>76609.5275771421</v>
      </c>
      <c r="H34" s="32" t="n">
        <f aca="false">$B$10*((1-$B$13)+$B$13*(G34/$B$9)*(A34+$B$8)/($B$5+$B$8))</f>
        <v>5483.77466288732</v>
      </c>
      <c r="I34" s="21" t="n">
        <f aca="false">F34/$B$10-1</f>
        <v>0.0320544203879427</v>
      </c>
      <c r="J34" s="21" t="n">
        <f aca="false">H34/$B$10-1</f>
        <v>0.0302037690939914</v>
      </c>
    </row>
    <row r="35" customFormat="false" ht="15" hidden="false" customHeight="false" outlineLevel="0" collapsed="false">
      <c r="A35" s="32" t="n">
        <f aca="false">A34+$B$19</f>
        <v>80</v>
      </c>
      <c r="B35" s="32" t="n">
        <f aca="false">A35+$B$6</f>
        <v>145</v>
      </c>
      <c r="C35" s="18" t="n">
        <f aca="false">$B$9*(A35/$B$5)^$B$16</f>
        <v>75535.9199392539</v>
      </c>
      <c r="D35" s="32" t="n">
        <f aca="false">$B$10*((1-$B$13)+$B$13*(C35/$B$9)*(A35+$B$8)/($B$5+$B$8))</f>
        <v>5606.94354687857</v>
      </c>
      <c r="E35" s="18" t="n">
        <f aca="false">MAX(0,$B$9+$B$22*(A35-$B$5))</f>
        <v>74712.7207382049</v>
      </c>
      <c r="F35" s="32" t="n">
        <f aca="false">$B$10*((1-$B$13)+$B$13*(E35/$B$9)*(A35+$B$8)/($B$5+$B$8))</f>
        <v>5564.26176316869</v>
      </c>
      <c r="G35" s="18" t="n">
        <f aca="false">$B$9*EXP($B$16/$B$17*((A35/$B$5)^$B$17-1))</f>
        <v>74282.2617338722</v>
      </c>
      <c r="H35" s="32" t="n">
        <f aca="false">$B$10*((1-$B$13)+$B$13*(G35/$B$9)*(A35+$B$8)/($B$5+$B$8))</f>
        <v>5541.94303630952</v>
      </c>
      <c r="I35" s="21" t="n">
        <f aca="false">F35/$B$10-1</f>
        <v>0.0453243966125658</v>
      </c>
      <c r="J35" s="21" t="n">
        <f aca="false">H35/$B$10-1</f>
        <v>0.0411315116117819</v>
      </c>
    </row>
    <row r="36" customFormat="false" ht="15" hidden="false" customHeight="false" outlineLevel="0" collapsed="false">
      <c r="A36" s="32" t="n">
        <f aca="false">A35+$B$19</f>
        <v>85</v>
      </c>
      <c r="B36" s="32" t="n">
        <f aca="false">A36+$B$6</f>
        <v>150</v>
      </c>
      <c r="C36" s="18" t="n">
        <f aca="false">$B$9*(A36/$B$5)^$B$16</f>
        <v>74011.2284917338</v>
      </c>
      <c r="D36" s="32" t="n">
        <f aca="false">$B$10*((1-$B$13)+$B$13*(C36/$B$9)*(A36+$B$8)/($B$5+$B$8))</f>
        <v>5700.6589767764</v>
      </c>
      <c r="E36" s="18" t="n">
        <f aca="false">MAX(0,$B$9+$B$22*(A36-$B$5))</f>
        <v>72616.9609842732</v>
      </c>
      <c r="F36" s="32" t="n">
        <f aca="false">$B$10*((1-$B$13)+$B$13*(E36/$B$9)*(A36+$B$8)/($B$5+$B$8))</f>
        <v>5625.11334233313</v>
      </c>
      <c r="G36" s="18" t="n">
        <f aca="false">$B$9*EXP($B$16/$B$17*((A36/$B$5)^$B$17-1))</f>
        <v>71882.4858375067</v>
      </c>
      <c r="H36" s="32" t="n">
        <f aca="false">$B$10*((1-$B$13)+$B$13*(G36/$B$9)*(A36+$B$8)/($B$5+$B$8))</f>
        <v>5585.31725539258</v>
      </c>
      <c r="I36" s="21" t="n">
        <f aca="false">F36/$B$10-1</f>
        <v>0.0567562168576232</v>
      </c>
      <c r="J36" s="21" t="n">
        <f aca="false">H36/$B$10-1</f>
        <v>0.0492799653189135</v>
      </c>
    </row>
    <row r="37" customFormat="false" ht="15" hidden="false" customHeight="false" outlineLevel="0" collapsed="false">
      <c r="A37" s="32" t="n">
        <f aca="false">A36+$B$19</f>
        <v>90</v>
      </c>
      <c r="B37" s="32" t="n">
        <f aca="false">A37+$B$6</f>
        <v>155</v>
      </c>
      <c r="C37" s="18" t="n">
        <f aca="false">$B$9*(A37/$B$5)^$B$16</f>
        <v>72601.9088243051</v>
      </c>
      <c r="D37" s="32" t="n">
        <f aca="false">$B$10*((1-$B$13)+$B$13*(C37/$B$9)*(A37+$B$8)/($B$5+$B$8))</f>
        <v>5793.77656863945</v>
      </c>
      <c r="E37" s="18" t="n">
        <f aca="false">MAX(0,$B$9+$B$22*(A37-$B$5))</f>
        <v>70521.2012303415</v>
      </c>
      <c r="F37" s="32" t="n">
        <f aca="false">$B$10*((1-$B$13)+$B$13*(E37/$B$9)*(A37+$B$8)/($B$5+$B$8))</f>
        <v>5676.18041721834</v>
      </c>
      <c r="G37" s="18" t="n">
        <f aca="false">$B$9*EXP($B$16/$B$17*((A37/$B$5)^$B$17-1))</f>
        <v>69421.9311919603</v>
      </c>
      <c r="H37" s="32" t="n">
        <f aca="false">$B$10*((1-$B$13)+$B$13*(G37/$B$9)*(A37+$B$8)/($B$5+$B$8))</f>
        <v>5614.05254963081</v>
      </c>
      <c r="I37" s="21" t="n">
        <f aca="false">F37/$B$10-1</f>
        <v>0.0663498811231156</v>
      </c>
      <c r="J37" s="21" t="n">
        <f aca="false">H37/$B$10-1</f>
        <v>0.0546782922470048</v>
      </c>
    </row>
    <row r="38" customFormat="false" ht="15" hidden="false" customHeight="false" outlineLevel="0" collapsed="false">
      <c r="A38" s="32" t="n">
        <f aca="false">A37+$B$19</f>
        <v>95</v>
      </c>
      <c r="B38" s="32" t="n">
        <f aca="false">A38+$B$6</f>
        <v>160</v>
      </c>
      <c r="C38" s="18" t="n">
        <f aca="false">$B$9*(A38/$B$5)^$B$16</f>
        <v>71293.5137703085</v>
      </c>
      <c r="D38" s="32" t="n">
        <f aca="false">$B$10*((1-$B$13)+$B$13*(C38/$B$9)*(A38+$B$8)/($B$5+$B$8))</f>
        <v>5886.25403842419</v>
      </c>
      <c r="E38" s="18" t="n">
        <f aca="false">MAX(0,$B$9+$B$22*(A38-$B$5))</f>
        <v>68425.4414764098</v>
      </c>
      <c r="F38" s="32" t="n">
        <f aca="false">$B$10*((1-$B$13)+$B$13*(E38/$B$9)*(A38+$B$8)/($B$5+$B$8))</f>
        <v>5717.46298782433</v>
      </c>
      <c r="G38" s="18" t="n">
        <f aca="false">$B$9*EXP($B$16/$B$17*((A38/$B$5)^$B$17-1))</f>
        <v>66912.2954247169</v>
      </c>
      <c r="H38" s="32" t="n">
        <f aca="false">$B$10*((1-$B$13)+$B$13*(G38/$B$9)*(A38+$B$8)/($B$5+$B$8))</f>
        <v>5628.41170682294</v>
      </c>
      <c r="I38" s="21" t="n">
        <f aca="false">F38/$B$10-1</f>
        <v>0.0741053894090422</v>
      </c>
      <c r="J38" s="21" t="n">
        <f aca="false">H38/$B$10-1</f>
        <v>0.0573758607595232</v>
      </c>
    </row>
    <row r="39" customFormat="false" ht="15" hidden="false" customHeight="false" outlineLevel="0" collapsed="false">
      <c r="A39" s="32" t="n">
        <f aca="false">A38+$B$19</f>
        <v>100</v>
      </c>
      <c r="B39" s="32" t="n">
        <f aca="false">A39+$B$6</f>
        <v>165</v>
      </c>
      <c r="C39" s="18" t="n">
        <f aca="false">$B$9*(A39/$B$5)^$B$16</f>
        <v>70074.0485353642</v>
      </c>
      <c r="D39" s="32" t="n">
        <f aca="false">$B$10*((1-$B$13)+$B$13*(C39/$B$9)*(A39+$B$8)/($B$5+$B$8))</f>
        <v>5978.06425378349</v>
      </c>
      <c r="E39" s="18" t="n">
        <f aca="false">MAX(0,$B$9+$B$22*(A39-$B$5))</f>
        <v>66329.6817224781</v>
      </c>
      <c r="F39" s="32" t="n">
        <f aca="false">$B$10*((1-$B$13)+$B$13*(E39/$B$9)*(A39+$B$8)/($B$5+$B$8))</f>
        <v>5748.9610541511</v>
      </c>
      <c r="G39" s="18" t="n">
        <f aca="false">$B$9*EXP($B$16/$B$17*((A39/$B$5)^$B$17-1))</f>
        <v>64365.1522513671</v>
      </c>
      <c r="H39" s="32" t="n">
        <f aca="false">$B$10*((1-$B$13)+$B$13*(G39/$B$9)*(A39+$B$8)/($B$5+$B$8))</f>
        <v>5628.75915885207</v>
      </c>
      <c r="I39" s="21" t="n">
        <f aca="false">F39/$B$10-1</f>
        <v>0.0800227417154038</v>
      </c>
      <c r="J39" s="21" t="n">
        <f aca="false">H39/$B$10-1</f>
        <v>0.0574411344828243</v>
      </c>
    </row>
    <row r="40" customFormat="false" ht="15" hidden="false" customHeight="false" outlineLevel="0" collapsed="false">
      <c r="A40" s="32" t="n">
        <f aca="false">A39+$B$19</f>
        <v>105</v>
      </c>
      <c r="B40" s="32" t="n">
        <f aca="false">A40+$B$6</f>
        <v>170</v>
      </c>
      <c r="C40" s="18" t="n">
        <f aca="false">$B$9*(A40/$B$5)^$B$16</f>
        <v>68933.4557695466</v>
      </c>
      <c r="D40" s="32" t="n">
        <f aca="false">$B$10*((1-$B$13)+$B$13*(C40/$B$9)*(A40+$B$8)/($B$5+$B$8))</f>
        <v>6069.19114918196</v>
      </c>
      <c r="E40" s="18" t="n">
        <f aca="false">MAX(0,$B$9+$B$22*(A40-$B$5))</f>
        <v>64233.9219685464</v>
      </c>
      <c r="F40" s="32" t="n">
        <f aca="false">$B$10*((1-$B$13)+$B$13*(E40/$B$9)*(A40+$B$8)/($B$5+$B$8))</f>
        <v>5770.67461619863</v>
      </c>
      <c r="G40" s="18" t="n">
        <f aca="false">$B$9*EXP($B$16/$B$17*((A40/$B$5)^$B$17-1))</f>
        <v>61791.8656221</v>
      </c>
      <c r="H40" s="32" t="n">
        <f aca="false">$B$10*((1-$B$13)+$B$13*(G40/$B$9)*(A40+$B$8)/($B$5+$B$8))</f>
        <v>5615.55408195841</v>
      </c>
      <c r="I40" s="21" t="n">
        <f aca="false">F40/$B$10-1</f>
        <v>0.0841019380421995</v>
      </c>
      <c r="J40" s="21" t="n">
        <f aca="false">H40/$B$10-1</f>
        <v>0.0549603760958877</v>
      </c>
    </row>
    <row r="41" customFormat="false" ht="15" hidden="false" customHeight="false" outlineLevel="0" collapsed="false">
      <c r="A41" s="32" t="n">
        <f aca="false">A40+$B$19</f>
        <v>110</v>
      </c>
      <c r="B41" s="32" t="n">
        <f aca="false">A41+$B$6</f>
        <v>175</v>
      </c>
      <c r="C41" s="18" t="n">
        <f aca="false">$B$9*(A41/$B$5)^$B$16</f>
        <v>67863.2275628624</v>
      </c>
      <c r="D41" s="32" t="n">
        <f aca="false">$B$10*((1-$B$13)+$B$13*(C41/$B$9)*(A41+$B$8)/($B$5+$B$8))</f>
        <v>6159.62678736873</v>
      </c>
      <c r="E41" s="18" t="n">
        <f aca="false">MAX(0,$B$9+$B$22*(A41-$B$5))</f>
        <v>62138.1622146147</v>
      </c>
      <c r="F41" s="32" t="n">
        <f aca="false">$B$10*((1-$B$13)+$B$13*(E41/$B$9)*(A41+$B$8)/($B$5+$B$8))</f>
        <v>5782.60367396693</v>
      </c>
      <c r="G41" s="18" t="n">
        <f aca="false">$B$9*EXP($B$16/$B$17*((A41/$B$5)^$B$17-1))</f>
        <v>59203.5090963333</v>
      </c>
      <c r="H41" s="32" t="n">
        <f aca="false">$B$10*((1-$B$13)+$B$13*(G41/$B$9)*(A41+$B$8)/($B$5+$B$8))</f>
        <v>5589.34263883353</v>
      </c>
      <c r="I41" s="21" t="n">
        <f aca="false">F41/$B$10-1</f>
        <v>0.0863429783894296</v>
      </c>
      <c r="J41" s="21" t="n">
        <f aca="false">H41/$B$10-1</f>
        <v>0.0500361898992163</v>
      </c>
    </row>
    <row r="42" customFormat="false" ht="15" hidden="false" customHeight="false" outlineLevel="0" collapsed="false">
      <c r="A42" s="32" t="n">
        <f aca="false">A41+$B$19</f>
        <v>115</v>
      </c>
      <c r="B42" s="32" t="n">
        <f aca="false">A42+$B$6</f>
        <v>180</v>
      </c>
      <c r="C42" s="18" t="n">
        <f aca="false">$B$9*(A42/$B$5)^$B$16</f>
        <v>66856.1088526999</v>
      </c>
      <c r="D42" s="32" t="n">
        <f aca="false">$B$10*((1-$B$13)+$B$13*(C42/$B$9)*(A42+$B$8)/($B$5+$B$8))</f>
        <v>6249.36921970943</v>
      </c>
      <c r="E42" s="18" t="n">
        <f aca="false">MAX(0,$B$9+$B$22*(A42-$B$5))</f>
        <v>60042.402460683</v>
      </c>
      <c r="F42" s="32" t="n">
        <f aca="false">$B$10*((1-$B$13)+$B$13*(E42/$B$9)*(A42+$B$8)/($B$5+$B$8))</f>
        <v>5784.74822745602</v>
      </c>
      <c r="G42" s="18" t="n">
        <f aca="false">$B$9*EXP($B$16/$B$17*((A42/$B$5)^$B$17-1))</f>
        <v>56610.7911889978</v>
      </c>
      <c r="H42" s="32" t="n">
        <f aca="false">$B$10*((1-$B$13)+$B$13*(G42/$B$9)*(A42+$B$8)/($B$5+$B$8))</f>
        <v>5550.74949866629</v>
      </c>
      <c r="I42" s="21" t="n">
        <f aca="false">F42/$B$10-1</f>
        <v>0.0867458627570947</v>
      </c>
      <c r="J42" s="21" t="n">
        <f aca="false">H42/$B$10-1</f>
        <v>0.0427859287368573</v>
      </c>
    </row>
    <row r="43" customFormat="false" ht="15" hidden="false" customHeight="false" outlineLevel="0" collapsed="false">
      <c r="A43" s="32" t="n">
        <f aca="false">A42+$B$19</f>
        <v>120</v>
      </c>
      <c r="B43" s="32" t="n">
        <f aca="false">A43+$B$6</f>
        <v>185</v>
      </c>
      <c r="C43" s="18" t="n">
        <f aca="false">$B$9*(A43/$B$5)^$B$16</f>
        <v>65905.8677501177</v>
      </c>
      <c r="D43" s="32" t="n">
        <f aca="false">$B$10*((1-$B$13)+$B$13*(C43/$B$9)*(A43+$B$8)/($B$5+$B$8))</f>
        <v>6338.42091175304</v>
      </c>
      <c r="E43" s="18" t="n">
        <f aca="false">MAX(0,$B$9+$B$22*(A43-$B$5))</f>
        <v>57946.6427067513</v>
      </c>
      <c r="F43" s="32" t="n">
        <f aca="false">$B$10*((1-$B$13)+$B$13*(E43/$B$9)*(A43+$B$8)/($B$5+$B$8))</f>
        <v>5777.10827666587</v>
      </c>
      <c r="G43" s="18" t="n">
        <f aca="false">$B$9*EXP($B$16/$B$17*((A43/$B$5)^$B$17-1))</f>
        <v>54023.9873216508</v>
      </c>
      <c r="H43" s="32" t="n">
        <f aca="false">$B$10*((1-$B$13)+$B$13*(G43/$B$9)*(A43+$B$8)/($B$5+$B$8))</f>
        <v>5500.46877737382</v>
      </c>
      <c r="I43" s="21" t="n">
        <f aca="false">F43/$B$10-1</f>
        <v>0.0853105911451944</v>
      </c>
      <c r="J43" s="21" t="n">
        <f aca="false">H43/$B$10-1</f>
        <v>0.0333399919920752</v>
      </c>
    </row>
    <row r="44" customFormat="false" ht="15" hidden="false" customHeight="false" outlineLevel="0" collapsed="false">
      <c r="A44" s="32" t="n">
        <f aca="false">A43+$B$19</f>
        <v>125</v>
      </c>
      <c r="B44" s="32" t="n">
        <f aca="false">A44+$B$6</f>
        <v>190</v>
      </c>
      <c r="C44" s="18" t="n">
        <f aca="false">$B$9*(A44/$B$5)^$B$16</f>
        <v>65007.115582699</v>
      </c>
      <c r="D44" s="32" t="n">
        <f aca="false">$B$10*((1-$B$13)+$B$13*(C44/$B$9)*(A44+$B$8)/($B$5+$B$8))</f>
        <v>6426.78757419942</v>
      </c>
      <c r="E44" s="18" t="n">
        <f aca="false">MAX(0,$B$9+$B$22*(A44-$B$5))</f>
        <v>55850.8829528196</v>
      </c>
      <c r="F44" s="32" t="n">
        <f aca="false">$B$10*((1-$B$13)+$B$13*(E44/$B$9)*(A44+$B$8)/($B$5+$B$8))</f>
        <v>5759.6838215965</v>
      </c>
      <c r="G44" s="18" t="n">
        <f aca="false">$B$9*EXP($B$16/$B$17*((A44/$B$5)^$B$17-1))</f>
        <v>51452.8788957998</v>
      </c>
      <c r="H44" s="32" t="n">
        <f aca="false">$B$10*((1-$B$13)+$B$13*(G44/$B$9)*(A44+$B$8)/($B$5+$B$8))</f>
        <v>5439.25454363926</v>
      </c>
      <c r="I44" s="21" t="n">
        <f aca="false">F44/$B$10-1</f>
        <v>0.0820371635537283</v>
      </c>
      <c r="J44" s="21" t="n">
        <f aca="false">H44/$B$10-1</f>
        <v>0.0218400420137623</v>
      </c>
    </row>
    <row r="45" customFormat="false" ht="15" hidden="false" customHeight="false" outlineLevel="0" collapsed="false">
      <c r="A45" s="32" t="n">
        <f aca="false">A44+$B$19</f>
        <v>130</v>
      </c>
      <c r="B45" s="32" t="n">
        <f aca="false">A45+$B$6</f>
        <v>195</v>
      </c>
      <c r="C45" s="18" t="n">
        <f aca="false">$B$9*(A45/$B$5)^$B$16</f>
        <v>64155.1643724236</v>
      </c>
      <c r="D45" s="32" t="n">
        <f aca="false">$B$10*((1-$B$13)+$B$13*(C45/$B$9)*(A45+$B$8)/($B$5+$B$8))</f>
        <v>6514.47728818419</v>
      </c>
      <c r="E45" s="18" t="n">
        <f aca="false">MAX(0,$B$9+$B$22*(A45-$B$5))</f>
        <v>53755.1231988879</v>
      </c>
      <c r="F45" s="32" t="n">
        <f aca="false">$B$10*((1-$B$13)+$B$13*(E45/$B$9)*(A45+$B$8)/($B$5+$B$8))</f>
        <v>5732.4748622479</v>
      </c>
      <c r="G45" s="18" t="n">
        <f aca="false">$B$9*EXP($B$16/$B$17*((A45/$B$5)^$B$17-1))</f>
        <v>48906.6998868366</v>
      </c>
      <c r="H45" s="32" t="n">
        <f aca="false">$B$10*((1-$B$13)+$B$13*(G45/$B$9)*(A45+$B$8)/($B$5+$B$8))</f>
        <v>5367.91103709324</v>
      </c>
      <c r="I45" s="21" t="n">
        <f aca="false">F45/$B$10-1</f>
        <v>0.0769255799826969</v>
      </c>
      <c r="J45" s="21" t="n">
        <f aca="false">H45/$B$10-1</f>
        <v>0.00843716646500758</v>
      </c>
    </row>
    <row r="46" customFormat="false" ht="15" hidden="false" customHeight="false" outlineLevel="0" collapsed="false">
      <c r="A46" s="32" t="n">
        <f aca="false">A45+$B$19</f>
        <v>135</v>
      </c>
      <c r="B46" s="32" t="n">
        <f aca="false">A46+$B$6</f>
        <v>200</v>
      </c>
      <c r="C46" s="18" t="n">
        <f aca="false">$B$9*(A46/$B$5)^$B$16</f>
        <v>63345.9128482022</v>
      </c>
      <c r="D46" s="32" t="n">
        <f aca="false">$B$10*((1-$B$13)+$B$13*(C46/$B$9)*(A46+$B$8)/($B$5+$B$8))</f>
        <v>6601.49984657347</v>
      </c>
      <c r="E46" s="18" t="n">
        <f aca="false">MAX(0,$B$9+$B$22*(A46-$B$5))</f>
        <v>51659.3634449562</v>
      </c>
      <c r="F46" s="32" t="n">
        <f aca="false">$B$10*((1-$B$13)+$B$13*(E46/$B$9)*(A46+$B$8)/($B$5+$B$8))</f>
        <v>5695.48139862007</v>
      </c>
      <c r="G46" s="18" t="n">
        <f aca="false">$B$9*EXP($B$16/$B$17*((A46/$B$5)^$B$17-1))</f>
        <v>46394.0912370075</v>
      </c>
      <c r="H46" s="32" t="n">
        <f aca="false">$B$10*((1-$B$13)+$B$13*(G46/$B$9)*(A46+$B$8)/($B$5+$B$8))</f>
        <v>5287.28274311506</v>
      </c>
      <c r="I46" s="21" t="n">
        <f aca="false">F46/$B$10-1</f>
        <v>0.0699758404320998</v>
      </c>
      <c r="J46" s="21" t="n">
        <f aca="false">H46/$B$10-1</f>
        <v>-0.00670998626431307</v>
      </c>
    </row>
    <row r="48" customFormat="false" ht="15" hidden="false" customHeight="false" outlineLevel="0" collapsed="false">
      <c r="A48" s="43" t="s">
        <v>202</v>
      </c>
      <c r="B48" s="43"/>
      <c r="C48" s="43"/>
    </row>
    <row r="49" customFormat="false" ht="15" hidden="false" customHeight="false" outlineLevel="0" collapsed="false">
      <c r="A49" s="42" t="s">
        <v>203</v>
      </c>
      <c r="B49" s="32" t="str">
        <f aca="false">IF(MATCH(MAX(D30:D46),D30:D46,0)=17,"No interior max (rises through grid)",INDEX($A$30:$A$46,MATCH(MAX(D30:D46),D30:D46,0)))</f>
        <v>No interior max (rises through grid)</v>
      </c>
      <c r="C49" s="32" t="n">
        <f aca="false">MAX(D30:D46)</f>
        <v>6601.49984657347</v>
      </c>
    </row>
    <row r="50" customFormat="false" ht="15" hidden="false" customHeight="false" outlineLevel="0" collapsed="false">
      <c r="A50" s="42" t="s">
        <v>204</v>
      </c>
      <c r="B50" s="32" t="n">
        <f aca="false">IF(MATCH(MAX(F30:F46),F30:F46,0)=17,"No interior max (rises through grid)",INDEX($A$30:$A$46,MATCH(MAX(F30:F46),F30:F46,0)))</f>
        <v>115</v>
      </c>
      <c r="C50" s="32" t="n">
        <f aca="false">MAX(F30:F46)</f>
        <v>5784.74822745602</v>
      </c>
    </row>
    <row r="51" customFormat="false" ht="15" hidden="false" customHeight="false" outlineLevel="0" collapsed="false">
      <c r="A51" s="42" t="s">
        <v>205</v>
      </c>
      <c r="B51" s="32" t="n">
        <f aca="false">IF(MATCH(MAX(H30:H46),H30:H46,0)=17,"No interior max (rises through grid)",INDEX($A$30:$A$46,MATCH(MAX(H30:H46),H30:H46,0)))</f>
        <v>100</v>
      </c>
      <c r="C51" s="32" t="n">
        <f aca="false">MAX(H30:H46)</f>
        <v>5628.75915885207</v>
      </c>
    </row>
    <row r="52" customFormat="false" ht="15" hidden="false" customHeight="false" outlineLevel="0" collapsed="false">
      <c r="A52" s="57" t="s">
        <v>206</v>
      </c>
    </row>
    <row r="55" customFormat="false" ht="15" hidden="false" customHeight="false" outlineLevel="0" collapsed="false">
      <c r="A55" s="43" t="s">
        <v>207</v>
      </c>
      <c r="B55" s="43"/>
      <c r="C55" s="43"/>
    </row>
    <row r="56" customFormat="false" ht="31.5" hidden="false" customHeight="true" outlineLevel="0" collapsed="false">
      <c r="A56" s="12" t="s">
        <v>208</v>
      </c>
      <c r="B56" s="12" t="s">
        <v>209</v>
      </c>
      <c r="C56" s="12" t="s">
        <v>210</v>
      </c>
    </row>
    <row r="57" customFormat="false" ht="15" hidden="false" customHeight="false" outlineLevel="0" collapsed="false">
      <c r="A57" s="58" t="n">
        <v>-0.1</v>
      </c>
      <c r="B57" s="24" t="n">
        <f aca="false">-($B$5*(1-A57)+A57*$B$8)/(2*A57)</f>
        <v>341.972222222222</v>
      </c>
      <c r="C57" s="21" t="n">
        <f aca="false">B57/$B$5-1</f>
        <v>4.26111111111111</v>
      </c>
    </row>
    <row r="58" customFormat="false" ht="15" hidden="false" customHeight="false" outlineLevel="0" collapsed="false">
      <c r="A58" s="58" t="n">
        <v>-0.2</v>
      </c>
      <c r="B58" s="24" t="n">
        <f aca="false">-($B$5*(1-A58)+A58*$B$8)/(2*A58)</f>
        <v>179.472222222222</v>
      </c>
      <c r="C58" s="21" t="n">
        <f aca="false">B58/$B$5-1</f>
        <v>1.76111111111111</v>
      </c>
    </row>
    <row r="59" customFormat="false" ht="15" hidden="false" customHeight="false" outlineLevel="0" collapsed="false">
      <c r="A59" s="58" t="n">
        <v>-0.3</v>
      </c>
      <c r="B59" s="24" t="n">
        <f aca="false">-($B$5*(1-A59)+A59*$B$8)/(2*A59)</f>
        <v>125.305555555556</v>
      </c>
      <c r="C59" s="21" t="n">
        <f aca="false">B59/$B$5-1</f>
        <v>0.927777777777778</v>
      </c>
    </row>
    <row r="60" customFormat="false" ht="15" hidden="false" customHeight="false" outlineLevel="0" collapsed="false">
      <c r="A60" s="58" t="n">
        <v>-0.5</v>
      </c>
      <c r="B60" s="24" t="n">
        <f aca="false">-($B$5*(1-A60)+A60*$B$8)/(2*A60)</f>
        <v>81.9722222222222</v>
      </c>
      <c r="C60" s="21" t="n">
        <f aca="false">B60/$B$5-1</f>
        <v>0.261111111111111</v>
      </c>
    </row>
    <row r="61" customFormat="false" ht="15" hidden="false" customHeight="false" outlineLevel="0" collapsed="false">
      <c r="A61" s="58" t="n">
        <v>-0.75</v>
      </c>
      <c r="B61" s="24" t="n">
        <f aca="false">-($B$5*(1-A61)+A61*$B$8)/(2*A61)</f>
        <v>60.3055555555556</v>
      </c>
      <c r="C61" s="21" t="n">
        <f aca="false">B61/$B$5-1</f>
        <v>-0.0722222222222223</v>
      </c>
    </row>
    <row r="62" customFormat="false" ht="15" hidden="false" customHeight="false" outlineLevel="0" collapsed="false">
      <c r="A62" s="58" t="n">
        <v>-1</v>
      </c>
      <c r="B62" s="24" t="n">
        <f aca="false">-($B$5*(1-A62)+A62*$B$8)/(2*A62)</f>
        <v>49.4722222222222</v>
      </c>
      <c r="C62" s="21" t="n">
        <f aca="false">B62/$B$5-1</f>
        <v>-0.238888888888889</v>
      </c>
    </row>
    <row r="63" customFormat="false" ht="15" hidden="false" customHeight="false" outlineLevel="0" collapsed="false">
      <c r="A63" s="58" t="n">
        <v>-1.5</v>
      </c>
      <c r="B63" s="24" t="n">
        <f aca="false">-($B$5*(1-A63)+A63*$B$8)/(2*A63)</f>
        <v>38.6388888888889</v>
      </c>
      <c r="C63" s="21" t="n">
        <f aca="false">B63/$B$5-1</f>
        <v>-0.405555555555556</v>
      </c>
    </row>
    <row r="65" customFormat="false" ht="57.75" hidden="false" customHeight="true" outlineLevel="0" collapsed="false">
      <c r="A65" s="36" t="s">
        <v>211</v>
      </c>
      <c r="B65" s="36"/>
      <c r="C65" s="36"/>
      <c r="D65" s="36"/>
      <c r="E65" s="36"/>
      <c r="F65" s="36"/>
      <c r="G65" s="36"/>
      <c r="H65" s="36"/>
      <c r="I65" s="36"/>
      <c r="J65" s="36"/>
    </row>
  </sheetData>
  <mergeCells count="7">
    <mergeCell ref="A2:J2"/>
    <mergeCell ref="A4:C4"/>
    <mergeCell ref="A21:C21"/>
    <mergeCell ref="A28:J28"/>
    <mergeCell ref="A48:C48"/>
    <mergeCell ref="A55:C55"/>
    <mergeCell ref="A65:J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52"/>
    <col collapsed="false" customWidth="true" hidden="false" outlineLevel="0" max="4" min="4" style="0" width="85"/>
  </cols>
  <sheetData>
    <row r="1" customFormat="false" ht="17.35" hidden="false" customHeight="false" outlineLevel="0" collapsed="false">
      <c r="A1" s="1" t="s">
        <v>13</v>
      </c>
    </row>
    <row r="3" customFormat="false" ht="30" hidden="false" customHeight="true" outlineLevel="0" collapsed="false">
      <c r="A3" s="12" t="s">
        <v>212</v>
      </c>
      <c r="B3" s="12" t="s">
        <v>213</v>
      </c>
      <c r="C3" s="12" t="s">
        <v>214</v>
      </c>
      <c r="D3" s="12" t="s">
        <v>215</v>
      </c>
    </row>
    <row r="4" customFormat="false" ht="31.5" hidden="false" customHeight="true" outlineLevel="0" collapsed="false">
      <c r="A4" s="33" t="s">
        <v>216</v>
      </c>
      <c r="B4" s="33" t="s">
        <v>217</v>
      </c>
      <c r="C4" s="33" t="s">
        <v>218</v>
      </c>
      <c r="D4" s="33" t="s">
        <v>219</v>
      </c>
    </row>
    <row r="5" customFormat="false" ht="31.5" hidden="false" customHeight="true" outlineLevel="0" collapsed="false">
      <c r="A5" s="33" t="s">
        <v>220</v>
      </c>
      <c r="B5" s="33" t="s">
        <v>221</v>
      </c>
      <c r="C5" s="33" t="s">
        <v>222</v>
      </c>
      <c r="D5" s="33" t="s">
        <v>223</v>
      </c>
    </row>
    <row r="6" customFormat="false" ht="31.5" hidden="false" customHeight="true" outlineLevel="0" collapsed="false">
      <c r="A6" s="33" t="s">
        <v>220</v>
      </c>
      <c r="B6" s="33" t="s">
        <v>224</v>
      </c>
      <c r="C6" s="33" t="s">
        <v>225</v>
      </c>
      <c r="D6" s="33" t="s">
        <v>226</v>
      </c>
    </row>
    <row r="7" customFormat="false" ht="31.5" hidden="false" customHeight="true" outlineLevel="0" collapsed="false">
      <c r="A7" s="33" t="s">
        <v>220</v>
      </c>
      <c r="B7" s="33" t="s">
        <v>227</v>
      </c>
      <c r="C7" s="33" t="s">
        <v>228</v>
      </c>
      <c r="D7" s="33" t="s">
        <v>229</v>
      </c>
    </row>
    <row r="8" customFormat="false" ht="31.5" hidden="false" customHeight="true" outlineLevel="0" collapsed="false">
      <c r="A8" s="33" t="s">
        <v>220</v>
      </c>
      <c r="B8" s="33" t="s">
        <v>230</v>
      </c>
      <c r="C8" s="33" t="s">
        <v>231</v>
      </c>
      <c r="D8" s="33" t="s">
        <v>232</v>
      </c>
    </row>
    <row r="9" customFormat="false" ht="31.5" hidden="false" customHeight="true" outlineLevel="0" collapsed="false">
      <c r="A9" s="33" t="s">
        <v>220</v>
      </c>
      <c r="B9" s="33" t="s">
        <v>233</v>
      </c>
      <c r="C9" s="33" t="s">
        <v>234</v>
      </c>
      <c r="D9" s="33" t="s">
        <v>235</v>
      </c>
    </row>
    <row r="10" customFormat="false" ht="31.5" hidden="false" customHeight="true" outlineLevel="0" collapsed="false">
      <c r="A10" s="33" t="s">
        <v>220</v>
      </c>
      <c r="B10" s="33" t="s">
        <v>236</v>
      </c>
      <c r="C10" s="33" t="s">
        <v>237</v>
      </c>
      <c r="D10" s="33" t="s">
        <v>238</v>
      </c>
    </row>
    <row r="11" customFormat="false" ht="31.5" hidden="false" customHeight="true" outlineLevel="0" collapsed="false">
      <c r="A11" s="33" t="s">
        <v>220</v>
      </c>
      <c r="B11" s="33" t="s">
        <v>239</v>
      </c>
      <c r="C11" s="33" t="s">
        <v>240</v>
      </c>
      <c r="D11" s="33" t="s">
        <v>241</v>
      </c>
    </row>
    <row r="12" customFormat="false" ht="31.5" hidden="false" customHeight="true" outlineLevel="0" collapsed="false">
      <c r="A12" s="33" t="s">
        <v>220</v>
      </c>
      <c r="B12" s="33" t="s">
        <v>242</v>
      </c>
      <c r="C12" s="33" t="s">
        <v>243</v>
      </c>
      <c r="D12" s="33" t="s">
        <v>244</v>
      </c>
    </row>
    <row r="13" customFormat="false" ht="31.5" hidden="false" customHeight="true" outlineLevel="0" collapsed="false">
      <c r="A13" s="33" t="s">
        <v>245</v>
      </c>
      <c r="B13" s="33" t="s">
        <v>246</v>
      </c>
      <c r="C13" s="33" t="s">
        <v>247</v>
      </c>
      <c r="D13" s="33" t="s">
        <v>248</v>
      </c>
    </row>
    <row r="14" customFormat="false" ht="31.5" hidden="false" customHeight="true" outlineLevel="0" collapsed="false">
      <c r="A14" s="33" t="s">
        <v>249</v>
      </c>
      <c r="B14" s="33" t="s">
        <v>165</v>
      </c>
      <c r="C14" s="33" t="s">
        <v>250</v>
      </c>
      <c r="D14" s="33" t="s">
        <v>251</v>
      </c>
    </row>
    <row r="15" customFormat="false" ht="31.5" hidden="false" customHeight="true" outlineLevel="0" collapsed="false">
      <c r="A15" s="33" t="s">
        <v>252</v>
      </c>
      <c r="B15" s="33" t="s">
        <v>253</v>
      </c>
      <c r="C15" s="33" t="s">
        <v>254</v>
      </c>
      <c r="D15" s="33"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2026-10-05T21:09:06Z</dcterms:created>
  <dc:creator>openpyxl</dc:creator>
  <dc:description/>
  <dc:language>en-US</dc:language>
  <cp:lastModifiedBy/>
  <dcterms:modified xsi:type="dcterms:W3CDTF">2026-10-05T21:09:09Z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